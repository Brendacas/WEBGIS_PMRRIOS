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Brenda\WebGIS\automacao\interno_fixo\"/>
    </mc:Choice>
  </mc:AlternateContent>
  <xr:revisionPtr revIDLastSave="0" documentId="13_ncr:1_{CEE2B9FE-69B8-44E0-8145-DD4846655948}" xr6:coauthVersionLast="47" xr6:coauthVersionMax="47" xr10:uidLastSave="{00000000-0000-0000-0000-000000000000}"/>
  <bookViews>
    <workbookView xWindow="-120" yWindow="-120" windowWidth="29040" windowHeight="15720" tabRatio="716" activeTab="1" xr2:uid="{00000000-000D-0000-FFFF-FFFF00000000}"/>
  </bookViews>
  <sheets>
    <sheet name="00_Resumo" sheetId="1" r:id="rId1"/>
    <sheet name="01_Carvalho" sheetId="2" r:id="rId2"/>
    <sheet name="02_Esperança" sheetId="3" r:id="rId3"/>
    <sheet name="03_Aureliano" sheetId="4" r:id="rId4"/>
    <sheet name="04_Seringal" sheetId="5" r:id="rId5"/>
    <sheet name="05_Vila Freitas" sheetId="6" r:id="rId6"/>
    <sheet name="06_Nova Esperança" sheetId="7" r:id="rId7"/>
    <sheet name="07_Floresta" sheetId="8" r:id="rId8"/>
    <sheet name="08_Coqueiro" sheetId="9" r:id="rId9"/>
    <sheet name="09_Legião" sheetId="10" r:id="rId10"/>
    <sheet name="10_Amparo" sheetId="11" r:id="rId11"/>
    <sheet name="11_Nerival" sheetId="12" r:id="rId12"/>
    <sheet name="12_Cano" sheetId="13" r:id="rId13"/>
    <sheet name="13_Soledade"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2" l="1"/>
  <c r="N5" i="2"/>
  <c r="J6" i="2"/>
  <c r="K6" i="2"/>
  <c r="I7" i="2"/>
  <c r="K7" i="2"/>
  <c r="K8" i="2"/>
  <c r="K9" i="2"/>
  <c r="K10" i="2"/>
  <c r="K11" i="2"/>
  <c r="J12" i="2"/>
  <c r="K12" i="2"/>
  <c r="I13" i="2"/>
  <c r="K13" i="2"/>
  <c r="K14" i="2"/>
  <c r="I15" i="2"/>
  <c r="K15" i="2"/>
  <c r="K16" i="2"/>
  <c r="K17" i="2"/>
  <c r="K18" i="2"/>
  <c r="K19" i="2"/>
  <c r="K20" i="2"/>
  <c r="K21" i="2"/>
  <c r="K22" i="2"/>
  <c r="K23" i="2"/>
  <c r="K24" i="2"/>
  <c r="K25" i="2"/>
  <c r="K26" i="2"/>
  <c r="K27" i="2"/>
  <c r="K28" i="2"/>
  <c r="AI70" i="1"/>
  <c r="AJ70" i="1"/>
  <c r="AL70" i="1"/>
  <c r="AI71" i="1"/>
  <c r="AJ71" i="1"/>
  <c r="AL71" i="1"/>
  <c r="AI72" i="1"/>
  <c r="AJ72" i="1"/>
  <c r="AL72" i="1"/>
  <c r="AJ69" i="1"/>
  <c r="AI69" i="1"/>
  <c r="AL69" i="1" s="1"/>
  <c r="AI67" i="1"/>
  <c r="AJ67" i="1"/>
  <c r="AL67" i="1"/>
  <c r="AJ66" i="1"/>
  <c r="AI66" i="1"/>
  <c r="AL66" i="1" s="1"/>
  <c r="AI57" i="1"/>
  <c r="AL57" i="1" s="1"/>
  <c r="AJ57" i="1"/>
  <c r="AI58" i="1"/>
  <c r="AL58" i="1" s="1"/>
  <c r="AJ58" i="1"/>
  <c r="AI59" i="1"/>
  <c r="AJ59" i="1"/>
  <c r="AL59" i="1" s="1"/>
  <c r="AI60" i="1"/>
  <c r="AJ60" i="1"/>
  <c r="AL60" i="1"/>
  <c r="AI61" i="1"/>
  <c r="AJ61" i="1"/>
  <c r="AL61" i="1"/>
  <c r="AI62" i="1"/>
  <c r="AJ62" i="1"/>
  <c r="AL62" i="1"/>
  <c r="AI63" i="1"/>
  <c r="AJ63" i="1"/>
  <c r="AL63" i="1"/>
  <c r="AI64" i="1"/>
  <c r="AL64" i="1" s="1"/>
  <c r="AJ64" i="1"/>
  <c r="AJ56" i="1"/>
  <c r="AI56" i="1"/>
  <c r="AL56" i="1" s="1"/>
  <c r="AG64" i="1"/>
  <c r="AI50" i="1"/>
  <c r="AL50" i="1" s="1"/>
  <c r="AJ50" i="1"/>
  <c r="AI51" i="1"/>
  <c r="AJ51" i="1"/>
  <c r="AL51" i="1"/>
  <c r="AI52" i="1"/>
  <c r="AJ52" i="1"/>
  <c r="AL52" i="1"/>
  <c r="AI53" i="1"/>
  <c r="AJ53" i="1"/>
  <c r="AL53" i="1"/>
  <c r="AI54" i="1"/>
  <c r="AJ54" i="1"/>
  <c r="AL54" i="1"/>
  <c r="AJ49" i="1"/>
  <c r="AI49" i="1"/>
  <c r="AL49" i="1" s="1"/>
  <c r="AI45" i="1"/>
  <c r="AJ45" i="1"/>
  <c r="AL45" i="1"/>
  <c r="AI46" i="1"/>
  <c r="AJ46" i="1"/>
  <c r="AL46" i="1"/>
  <c r="AI47" i="1"/>
  <c r="AJ47" i="1"/>
  <c r="AL47" i="1"/>
  <c r="AJ44" i="1"/>
  <c r="AI44" i="1"/>
  <c r="AL44" i="1" s="1"/>
  <c r="AI39" i="1"/>
  <c r="AL39" i="1" s="1"/>
  <c r="AJ39" i="1"/>
  <c r="AI40" i="1"/>
  <c r="AJ40" i="1"/>
  <c r="AL40" i="1"/>
  <c r="AI41" i="1"/>
  <c r="AJ41" i="1"/>
  <c r="AL41" i="1"/>
  <c r="AI42" i="1"/>
  <c r="AL42" i="1" s="1"/>
  <c r="AJ42" i="1"/>
  <c r="AJ38" i="1"/>
  <c r="AI38" i="1"/>
  <c r="AL38" i="1" s="1"/>
  <c r="AI34" i="1"/>
  <c r="AJ34" i="1"/>
  <c r="AL34" i="1"/>
  <c r="AI35" i="1"/>
  <c r="AJ35" i="1"/>
  <c r="AL35" i="1" s="1"/>
  <c r="AI36" i="1"/>
  <c r="AJ36" i="1"/>
  <c r="AL36" i="1" s="1"/>
  <c r="AJ33" i="1"/>
  <c r="AI33" i="1"/>
  <c r="AL33" i="1" s="1"/>
  <c r="AL4" i="1"/>
  <c r="AJ4" i="1"/>
  <c r="AI4" i="1"/>
  <c r="AE4" i="1"/>
  <c r="AD4" i="1"/>
  <c r="AC4" i="1"/>
  <c r="AI31" i="1"/>
  <c r="AJ30" i="1"/>
  <c r="AI28" i="1"/>
  <c r="AJ27" i="1"/>
  <c r="AJ24" i="1"/>
  <c r="AI25" i="1"/>
  <c r="AJ23" i="1"/>
  <c r="AJ19" i="1"/>
  <c r="AJ20" i="1"/>
  <c r="AI21" i="1"/>
  <c r="AJ18" i="1"/>
  <c r="AJ13" i="1"/>
  <c r="AJ14" i="1"/>
  <c r="AJ15" i="1"/>
  <c r="AI16" i="1"/>
  <c r="AJ12" i="1"/>
  <c r="AJ6" i="1"/>
  <c r="AJ7" i="1"/>
  <c r="AJ8" i="1"/>
  <c r="AJ9" i="1"/>
  <c r="AI10" i="1"/>
  <c r="AJ5" i="1"/>
  <c r="Q74" i="1"/>
  <c r="T74" i="1"/>
  <c r="V74" i="1"/>
  <c r="AB74" i="1"/>
  <c r="AM74" i="1"/>
  <c r="G74" i="1"/>
  <c r="S70" i="1"/>
  <c r="S71" i="1"/>
  <c r="R72" i="1"/>
  <c r="P72" i="1"/>
  <c r="O72" i="1"/>
  <c r="N72" i="1"/>
  <c r="M72" i="1"/>
  <c r="L72" i="1"/>
  <c r="J71" i="1"/>
  <c r="R71" i="1" s="1"/>
  <c r="J70" i="1"/>
  <c r="R70" i="1" s="1"/>
  <c r="J69" i="1"/>
  <c r="R69" i="1" s="1"/>
  <c r="H72" i="1"/>
  <c r="B71" i="1"/>
  <c r="C71" i="1" s="1"/>
  <c r="B70" i="1"/>
  <c r="C70" i="1" s="1"/>
  <c r="E71" i="1"/>
  <c r="D71" i="1"/>
  <c r="E70" i="1"/>
  <c r="D70" i="1"/>
  <c r="D69" i="1"/>
  <c r="E69" i="1"/>
  <c r="B69" i="1"/>
  <c r="C69" i="1" s="1"/>
  <c r="S69" i="1"/>
  <c r="R67" i="1"/>
  <c r="S67" i="1"/>
  <c r="J66" i="1"/>
  <c r="R66" i="1" s="1"/>
  <c r="H67" i="1"/>
  <c r="E66" i="1"/>
  <c r="D66" i="1"/>
  <c r="B66" i="1"/>
  <c r="C66" i="1" s="1"/>
  <c r="S66" i="1"/>
  <c r="S57" i="1"/>
  <c r="S58" i="1"/>
  <c r="S59" i="1"/>
  <c r="S60" i="1"/>
  <c r="S61" i="1"/>
  <c r="S62" i="1"/>
  <c r="S63" i="1"/>
  <c r="R64" i="1"/>
  <c r="P64" i="1"/>
  <c r="O64" i="1"/>
  <c r="N64" i="1"/>
  <c r="M64" i="1"/>
  <c r="L64" i="1"/>
  <c r="J63" i="1"/>
  <c r="R63" i="1" s="1"/>
  <c r="J62" i="1"/>
  <c r="R62" i="1" s="1"/>
  <c r="J61" i="1"/>
  <c r="R61" i="1" s="1"/>
  <c r="J60" i="1"/>
  <c r="R60" i="1" s="1"/>
  <c r="J59" i="1"/>
  <c r="R59" i="1" s="1"/>
  <c r="J58" i="1"/>
  <c r="R58" i="1" s="1"/>
  <c r="J57" i="1"/>
  <c r="R57" i="1" s="1"/>
  <c r="J56" i="1"/>
  <c r="R56" i="1" s="1"/>
  <c r="H64" i="1"/>
  <c r="B62" i="1"/>
  <c r="C62" i="1" s="1"/>
  <c r="B63" i="1"/>
  <c r="C63" i="1" s="1"/>
  <c r="B61" i="1"/>
  <c r="C61" i="1" s="1"/>
  <c r="B60" i="1"/>
  <c r="C60" i="1" s="1"/>
  <c r="B59" i="1"/>
  <c r="C59" i="1" s="1"/>
  <c r="B58" i="1"/>
  <c r="C58" i="1" s="1"/>
  <c r="B57" i="1"/>
  <c r="C57" i="1" s="1"/>
  <c r="B56" i="1"/>
  <c r="C56" i="1" s="1"/>
  <c r="E63" i="1"/>
  <c r="D63" i="1"/>
  <c r="E62" i="1"/>
  <c r="D62" i="1"/>
  <c r="E61" i="1"/>
  <c r="D61" i="1"/>
  <c r="E60" i="1"/>
  <c r="D60" i="1"/>
  <c r="E59" i="1"/>
  <c r="D59" i="1"/>
  <c r="E58" i="1"/>
  <c r="D58" i="1"/>
  <c r="E57" i="1"/>
  <c r="D57" i="1"/>
  <c r="E56" i="1"/>
  <c r="D56" i="1"/>
  <c r="S56" i="1"/>
  <c r="P54" i="1"/>
  <c r="O54" i="1"/>
  <c r="N54" i="1"/>
  <c r="M54" i="1"/>
  <c r="L54" i="1"/>
  <c r="S50" i="1"/>
  <c r="S51" i="1"/>
  <c r="S52" i="1"/>
  <c r="S53" i="1"/>
  <c r="R54" i="1"/>
  <c r="J50" i="1"/>
  <c r="R50" i="1" s="1"/>
  <c r="J53" i="1"/>
  <c r="R53" i="1" s="1"/>
  <c r="J52" i="1"/>
  <c r="R52" i="1" s="1"/>
  <c r="J51" i="1"/>
  <c r="R51" i="1" s="1"/>
  <c r="J49" i="1"/>
  <c r="R49" i="1" s="1"/>
  <c r="H83" i="11"/>
  <c r="G85" i="11"/>
  <c r="G84" i="11" s="1"/>
  <c r="G81" i="11"/>
  <c r="G82" i="11"/>
  <c r="G80" i="11"/>
  <c r="G75" i="11"/>
  <c r="G76" i="11"/>
  <c r="G77" i="11"/>
  <c r="G74" i="11"/>
  <c r="H54" i="1"/>
  <c r="B50" i="1"/>
  <c r="C50" i="1" s="1"/>
  <c r="G79" i="11"/>
  <c r="G73" i="11"/>
  <c r="D50" i="1"/>
  <c r="E50" i="1"/>
  <c r="B53" i="1"/>
  <c r="C53" i="1" s="1"/>
  <c r="B52" i="1"/>
  <c r="C52" i="1" s="1"/>
  <c r="B51" i="1"/>
  <c r="C51" i="1" s="1"/>
  <c r="B49" i="1"/>
  <c r="C49" i="1" s="1"/>
  <c r="C54" i="1"/>
  <c r="E53" i="1"/>
  <c r="D53" i="1"/>
  <c r="E52" i="1"/>
  <c r="D52" i="1"/>
  <c r="E51" i="1"/>
  <c r="D51" i="1"/>
  <c r="B39" i="1"/>
  <c r="C39" i="1" s="1"/>
  <c r="B20" i="1"/>
  <c r="C20" i="1" s="1"/>
  <c r="B19" i="1"/>
  <c r="C19" i="1" s="1"/>
  <c r="B18" i="1"/>
  <c r="C18" i="1" s="1"/>
  <c r="E49" i="1"/>
  <c r="D49" i="1"/>
  <c r="S49" i="1"/>
  <c r="S45" i="1"/>
  <c r="S46" i="1"/>
  <c r="R47" i="1"/>
  <c r="S47" i="1"/>
  <c r="J46" i="1"/>
  <c r="R46" i="1" s="1"/>
  <c r="J45" i="1"/>
  <c r="R45" i="1" s="1"/>
  <c r="J44" i="1"/>
  <c r="R44" i="1" s="1"/>
  <c r="H47" i="1"/>
  <c r="E46" i="1"/>
  <c r="D46" i="1"/>
  <c r="E45" i="1"/>
  <c r="D45" i="1"/>
  <c r="E44" i="1"/>
  <c r="B46" i="1"/>
  <c r="C46" i="1" s="1"/>
  <c r="B45" i="1"/>
  <c r="C45" i="1" s="1"/>
  <c r="D44" i="1"/>
  <c r="B44" i="1"/>
  <c r="C44" i="1" s="1"/>
  <c r="S44" i="1"/>
  <c r="S39" i="1"/>
  <c r="S40" i="1"/>
  <c r="S41" i="1"/>
  <c r="R42" i="1"/>
  <c r="P42" i="1"/>
  <c r="O42" i="1"/>
  <c r="N42" i="1"/>
  <c r="M42" i="1"/>
  <c r="L42" i="1"/>
  <c r="J41" i="1"/>
  <c r="R41" i="1" s="1"/>
  <c r="J40" i="1"/>
  <c r="R40" i="1" s="1"/>
  <c r="J39" i="1"/>
  <c r="R39" i="1" s="1"/>
  <c r="J38" i="1"/>
  <c r="R38" i="1" s="1"/>
  <c r="B41" i="1"/>
  <c r="C41" i="1" s="1"/>
  <c r="B40" i="1"/>
  <c r="C40" i="1" s="1"/>
  <c r="E41" i="1"/>
  <c r="D41" i="1"/>
  <c r="E40" i="1"/>
  <c r="D40" i="1"/>
  <c r="E39" i="1"/>
  <c r="D39" i="1"/>
  <c r="H42" i="1"/>
  <c r="E38" i="1"/>
  <c r="D38" i="1"/>
  <c r="B38" i="1"/>
  <c r="C38" i="1" s="1"/>
  <c r="S38" i="1"/>
  <c r="S34" i="1"/>
  <c r="S35" i="1"/>
  <c r="R36" i="1"/>
  <c r="S36" i="1"/>
  <c r="J35" i="1"/>
  <c r="R35" i="1" s="1"/>
  <c r="J34" i="1"/>
  <c r="R34" i="1" s="1"/>
  <c r="J33" i="1"/>
  <c r="R33" i="1" s="1"/>
  <c r="H36" i="1"/>
  <c r="B35" i="1"/>
  <c r="C35" i="1" s="1"/>
  <c r="B34" i="1"/>
  <c r="C34" i="1" s="1"/>
  <c r="E35" i="1"/>
  <c r="D35" i="1"/>
  <c r="E34" i="1"/>
  <c r="D34" i="1"/>
  <c r="E33" i="1"/>
  <c r="D33" i="1"/>
  <c r="B33" i="1"/>
  <c r="C33" i="1" s="1"/>
  <c r="S33" i="1"/>
  <c r="G47" i="7"/>
  <c r="G46" i="7"/>
  <c r="G41" i="7"/>
  <c r="G42" i="7"/>
  <c r="P31" i="1"/>
  <c r="J30" i="1"/>
  <c r="R30" i="1" s="1"/>
  <c r="H31" i="1"/>
  <c r="E30" i="1"/>
  <c r="D30" i="1"/>
  <c r="B30" i="1"/>
  <c r="C30" i="1" s="1"/>
  <c r="S30" i="1"/>
  <c r="P28" i="1"/>
  <c r="O28" i="1"/>
  <c r="N28" i="1"/>
  <c r="M28" i="1"/>
  <c r="G7" i="6"/>
  <c r="J28" i="1"/>
  <c r="R28" i="1" s="1"/>
  <c r="H28" i="1"/>
  <c r="E27" i="1"/>
  <c r="D27" i="1"/>
  <c r="B27" i="1"/>
  <c r="C27" i="1" s="1"/>
  <c r="L25" i="1"/>
  <c r="K94" i="5"/>
  <c r="I131" i="5" s="1"/>
  <c r="I134" i="5"/>
  <c r="I135" i="5"/>
  <c r="G133" i="5"/>
  <c r="G134" i="5"/>
  <c r="G135" i="5"/>
  <c r="G132" i="5"/>
  <c r="G66" i="5"/>
  <c r="G67" i="5"/>
  <c r="G65" i="5"/>
  <c r="G51" i="5"/>
  <c r="G52" i="5"/>
  <c r="G53" i="5"/>
  <c r="G54" i="5"/>
  <c r="G55" i="5"/>
  <c r="G56" i="5"/>
  <c r="G57" i="5"/>
  <c r="G58" i="5"/>
  <c r="G59" i="5"/>
  <c r="G60" i="5"/>
  <c r="G61" i="5"/>
  <c r="G62" i="5"/>
  <c r="G63" i="5"/>
  <c r="G50" i="5"/>
  <c r="J25" i="1"/>
  <c r="R25" i="1" s="1"/>
  <c r="H25" i="1"/>
  <c r="B24" i="1"/>
  <c r="C24" i="1" s="1"/>
  <c r="E24" i="1"/>
  <c r="D24" i="1"/>
  <c r="E23" i="1"/>
  <c r="D23" i="1"/>
  <c r="B23" i="1"/>
  <c r="C23" i="1" s="1"/>
  <c r="S23" i="1"/>
  <c r="H21" i="1"/>
  <c r="L21" i="1"/>
  <c r="S19" i="1"/>
  <c r="S20" i="1"/>
  <c r="S18" i="1"/>
  <c r="L16" i="1"/>
  <c r="L6" i="1"/>
  <c r="S6" i="1" s="1"/>
  <c r="L7" i="1"/>
  <c r="S7" i="1" s="1"/>
  <c r="L8" i="1"/>
  <c r="S8" i="1" s="1"/>
  <c r="L9" i="1"/>
  <c r="S9" i="1" s="1"/>
  <c r="L10" i="1"/>
  <c r="L5" i="1"/>
  <c r="S5" i="1" s="1"/>
  <c r="O21" i="1"/>
  <c r="N21" i="1"/>
  <c r="M21" i="1"/>
  <c r="H70" i="4"/>
  <c r="E20" i="1"/>
  <c r="D20" i="1"/>
  <c r="E19" i="1"/>
  <c r="D19" i="1"/>
  <c r="E18" i="1"/>
  <c r="D18" i="1"/>
  <c r="P16" i="1"/>
  <c r="O16" i="1"/>
  <c r="H182" i="3"/>
  <c r="H202" i="3"/>
  <c r="N16" i="1"/>
  <c r="M16" i="1"/>
  <c r="H16" i="1"/>
  <c r="J15" i="1"/>
  <c r="R15" i="1" s="1"/>
  <c r="E16" i="1"/>
  <c r="D16" i="1"/>
  <c r="C16" i="1"/>
  <c r="B15" i="1"/>
  <c r="C15" i="1" s="1"/>
  <c r="E15" i="1"/>
  <c r="D15" i="1"/>
  <c r="J14" i="1"/>
  <c r="R14" i="1" s="1"/>
  <c r="B14" i="1"/>
  <c r="C14" i="1" s="1"/>
  <c r="E14" i="1"/>
  <c r="D14" i="1"/>
  <c r="S13" i="1"/>
  <c r="S14" i="1"/>
  <c r="S15" i="1"/>
  <c r="R16" i="1"/>
  <c r="R21" i="1"/>
  <c r="S24" i="1"/>
  <c r="S27" i="1"/>
  <c r="R31" i="1"/>
  <c r="J13" i="1"/>
  <c r="R13" i="1" s="1"/>
  <c r="B13" i="1"/>
  <c r="C13" i="1" s="1"/>
  <c r="E13" i="1"/>
  <c r="E12" i="1"/>
  <c r="D13" i="1"/>
  <c r="B12" i="1"/>
  <c r="C12" i="1" s="1"/>
  <c r="J12" i="1"/>
  <c r="R12" i="1" s="1"/>
  <c r="D12" i="1"/>
  <c r="S12" i="1"/>
  <c r="U3" i="1"/>
  <c r="E10" i="1"/>
  <c r="D10" i="1"/>
  <c r="H10" i="1"/>
  <c r="E9" i="1"/>
  <c r="D9" i="1"/>
  <c r="B9" i="1"/>
  <c r="C9" i="1" s="1"/>
  <c r="B8" i="1"/>
  <c r="C8" i="1" s="1"/>
  <c r="E8" i="1"/>
  <c r="D8" i="1"/>
  <c r="B7" i="1"/>
  <c r="C7" i="1" s="1"/>
  <c r="E7" i="1"/>
  <c r="D7" i="1"/>
  <c r="D6" i="1"/>
  <c r="E6" i="1"/>
  <c r="E5" i="1"/>
  <c r="D5" i="1"/>
  <c r="B6" i="1"/>
  <c r="C6" i="1" s="1"/>
  <c r="B5" i="1"/>
  <c r="C5" i="1" s="1"/>
  <c r="U52" i="1" l="1"/>
  <c r="X52" i="1" s="1"/>
  <c r="U47" i="1"/>
  <c r="AA47" i="1" s="1"/>
  <c r="S28" i="1"/>
  <c r="U46" i="1"/>
  <c r="Z46" i="1" s="1"/>
  <c r="S54" i="1"/>
  <c r="U70" i="1"/>
  <c r="W70" i="1" s="1"/>
  <c r="U34" i="1"/>
  <c r="Z34" i="1" s="1"/>
  <c r="U71" i="1"/>
  <c r="AA71" i="1" s="1"/>
  <c r="U36" i="1"/>
  <c r="AA36" i="1" s="1"/>
  <c r="U67" i="1"/>
  <c r="Z67" i="1" s="1"/>
  <c r="U61" i="1"/>
  <c r="S16" i="1"/>
  <c r="S64" i="1"/>
  <c r="H74" i="1"/>
  <c r="S72" i="1"/>
  <c r="W46" i="1"/>
  <c r="X46" i="1"/>
  <c r="Y46" i="1"/>
  <c r="S42" i="1"/>
  <c r="U63" i="1"/>
  <c r="W63" i="1" s="1"/>
  <c r="L74" i="1"/>
  <c r="U59" i="1"/>
  <c r="W59" i="1" s="1"/>
  <c r="U39" i="1"/>
  <c r="W39" i="1" s="1"/>
  <c r="U57" i="1"/>
  <c r="W57" i="1" s="1"/>
  <c r="S21" i="1"/>
  <c r="U50" i="1"/>
  <c r="AA50" i="1" s="1"/>
  <c r="U58" i="1"/>
  <c r="W58" i="1" s="1"/>
  <c r="U53" i="1"/>
  <c r="W53" i="1" s="1"/>
  <c r="U51" i="1"/>
  <c r="X51" i="1" s="1"/>
  <c r="U41" i="1"/>
  <c r="W41" i="1" s="1"/>
  <c r="U62" i="1"/>
  <c r="Y62" i="1" s="1"/>
  <c r="U45" i="1"/>
  <c r="W45" i="1" s="1"/>
  <c r="U60" i="1"/>
  <c r="W60" i="1" s="1"/>
  <c r="U69" i="1"/>
  <c r="U66" i="1"/>
  <c r="W61" i="1"/>
  <c r="X61" i="1"/>
  <c r="Y61" i="1"/>
  <c r="Z61" i="1"/>
  <c r="AA61" i="1"/>
  <c r="U56" i="1"/>
  <c r="W52" i="1"/>
  <c r="H72" i="11"/>
  <c r="H78" i="11"/>
  <c r="W47" i="1"/>
  <c r="Y47" i="1"/>
  <c r="U40" i="1"/>
  <c r="W40" i="1" s="1"/>
  <c r="U35" i="1"/>
  <c r="W35" i="1" s="1"/>
  <c r="U49" i="1"/>
  <c r="U44" i="1"/>
  <c r="U38" i="1"/>
  <c r="U33" i="1"/>
  <c r="G45" i="7"/>
  <c r="U30" i="1"/>
  <c r="I133" i="5"/>
  <c r="I132" i="5"/>
  <c r="H131" i="5"/>
  <c r="U13" i="1"/>
  <c r="W13" i="1" s="1"/>
  <c r="U14" i="1"/>
  <c r="W14" i="1" s="1"/>
  <c r="U15" i="1"/>
  <c r="Z15" i="1" s="1"/>
  <c r="U12" i="1"/>
  <c r="Y12" i="1" s="1"/>
  <c r="X47" i="1" l="1"/>
  <c r="Z47" i="1"/>
  <c r="AA70" i="1"/>
  <c r="Z70" i="1"/>
  <c r="AD47" i="1"/>
  <c r="Y70" i="1"/>
  <c r="X70" i="1"/>
  <c r="AE47" i="1"/>
  <c r="AG47" i="1" s="1"/>
  <c r="U72" i="1"/>
  <c r="U64" i="1"/>
  <c r="AC61" i="1"/>
  <c r="U16" i="1"/>
  <c r="Z16" i="1" s="1"/>
  <c r="AC70" i="1"/>
  <c r="U21" i="1"/>
  <c r="AA21" i="1" s="1"/>
  <c r="Y34" i="1"/>
  <c r="U54" i="1"/>
  <c r="Z54" i="1" s="1"/>
  <c r="X34" i="1"/>
  <c r="W34" i="1"/>
  <c r="X36" i="1"/>
  <c r="W36" i="1"/>
  <c r="U42" i="1"/>
  <c r="X42" i="1" s="1"/>
  <c r="AA67" i="1"/>
  <c r="U28" i="1"/>
  <c r="W28" i="1" s="1"/>
  <c r="Y67" i="1"/>
  <c r="AA52" i="1"/>
  <c r="W67" i="1"/>
  <c r="Z52" i="1"/>
  <c r="X67" i="1"/>
  <c r="Y52" i="1"/>
  <c r="X71" i="1"/>
  <c r="AA46" i="1"/>
  <c r="W71" i="1"/>
  <c r="Y71" i="1"/>
  <c r="Z36" i="1"/>
  <c r="Y36" i="1"/>
  <c r="Z71" i="1"/>
  <c r="Z45" i="1"/>
  <c r="AA60" i="1"/>
  <c r="AA34" i="1"/>
  <c r="Z60" i="1"/>
  <c r="X57" i="1"/>
  <c r="AA45" i="1"/>
  <c r="AA57" i="1"/>
  <c r="Z57" i="1"/>
  <c r="Y57" i="1"/>
  <c r="AA63" i="1"/>
  <c r="Z63" i="1"/>
  <c r="Z50" i="1"/>
  <c r="Y50" i="1"/>
  <c r="X50" i="1"/>
  <c r="W50" i="1"/>
  <c r="AA59" i="1"/>
  <c r="Z59" i="1"/>
  <c r="Y59" i="1"/>
  <c r="Y63" i="1"/>
  <c r="X59" i="1"/>
  <c r="AC59" i="1" s="1"/>
  <c r="X63" i="1"/>
  <c r="W51" i="1"/>
  <c r="AA53" i="1"/>
  <c r="AA58" i="1"/>
  <c r="Z53" i="1"/>
  <c r="Z58" i="1"/>
  <c r="AG72" i="1"/>
  <c r="Y53" i="1"/>
  <c r="Y58" i="1"/>
  <c r="X39" i="1"/>
  <c r="X53" i="1"/>
  <c r="X58" i="1"/>
  <c r="Y39" i="1"/>
  <c r="Z39" i="1"/>
  <c r="AA39" i="1"/>
  <c r="Y60" i="1"/>
  <c r="X60" i="1"/>
  <c r="W62" i="1"/>
  <c r="X62" i="1"/>
  <c r="X41" i="1"/>
  <c r="Y41" i="1"/>
  <c r="Y45" i="1"/>
  <c r="Z41" i="1"/>
  <c r="X45" i="1"/>
  <c r="AA51" i="1"/>
  <c r="AA41" i="1"/>
  <c r="Z51" i="1"/>
  <c r="AA62" i="1"/>
  <c r="X15" i="1"/>
  <c r="Y51" i="1"/>
  <c r="Z62" i="1"/>
  <c r="W15" i="1"/>
  <c r="AA69" i="1"/>
  <c r="Z69" i="1"/>
  <c r="Y69" i="1"/>
  <c r="X69" i="1"/>
  <c r="W69" i="1"/>
  <c r="AA66" i="1"/>
  <c r="Z66" i="1"/>
  <c r="Y66" i="1"/>
  <c r="X66" i="1"/>
  <c r="W66" i="1"/>
  <c r="AA56" i="1"/>
  <c r="Z56" i="1"/>
  <c r="Y56" i="1"/>
  <c r="X56" i="1"/>
  <c r="W56" i="1"/>
  <c r="K71" i="11"/>
  <c r="AA40" i="1"/>
  <c r="Z40" i="1"/>
  <c r="X40" i="1"/>
  <c r="Y40" i="1"/>
  <c r="AA35" i="1"/>
  <c r="Z35" i="1"/>
  <c r="Y35" i="1"/>
  <c r="X35" i="1"/>
  <c r="AA49" i="1"/>
  <c r="Z49" i="1"/>
  <c r="Y49" i="1"/>
  <c r="X49" i="1"/>
  <c r="W49" i="1"/>
  <c r="AA44" i="1"/>
  <c r="Z44" i="1"/>
  <c r="Y44" i="1"/>
  <c r="X44" i="1"/>
  <c r="W44" i="1"/>
  <c r="AA38" i="1"/>
  <c r="Z38" i="1"/>
  <c r="Y38" i="1"/>
  <c r="X38" i="1"/>
  <c r="W38" i="1"/>
  <c r="AA33" i="1"/>
  <c r="Z33" i="1"/>
  <c r="Y33" i="1"/>
  <c r="X33" i="1"/>
  <c r="W33" i="1"/>
  <c r="AA30" i="1"/>
  <c r="Z30" i="1"/>
  <c r="Y30" i="1"/>
  <c r="X30" i="1"/>
  <c r="W30" i="1"/>
  <c r="Y13" i="1"/>
  <c r="X13" i="1"/>
  <c r="Z13" i="1"/>
  <c r="AA13" i="1"/>
  <c r="Y15" i="1"/>
  <c r="AA14" i="1"/>
  <c r="AA15" i="1"/>
  <c r="Z14" i="1"/>
  <c r="Y14" i="1"/>
  <c r="X14" i="1"/>
  <c r="W12" i="1"/>
  <c r="X12" i="1"/>
  <c r="AA12" i="1"/>
  <c r="Z12" i="1"/>
  <c r="AC14" i="1" l="1"/>
  <c r="AI14" i="1" s="1"/>
  <c r="AL14" i="1" s="1"/>
  <c r="AA42" i="1"/>
  <c r="AC45" i="1"/>
  <c r="AC46" i="1"/>
  <c r="AE46" i="1" s="1"/>
  <c r="Z42" i="1"/>
  <c r="W16" i="1"/>
  <c r="AC58" i="1"/>
  <c r="AA16" i="1"/>
  <c r="AC53" i="1"/>
  <c r="AE53" i="1" s="1"/>
  <c r="AG53" i="1" s="1"/>
  <c r="AC69" i="1"/>
  <c r="AE69" i="1" s="1"/>
  <c r="Y42" i="1"/>
  <c r="AC40" i="1"/>
  <c r="AC39" i="1"/>
  <c r="AE39" i="1" s="1"/>
  <c r="AG39" i="1" s="1"/>
  <c r="AC38" i="1"/>
  <c r="AE38" i="1" s="1"/>
  <c r="AG38" i="1" s="1"/>
  <c r="AC56" i="1"/>
  <c r="AE56" i="1" s="1"/>
  <c r="AG56" i="1" s="1"/>
  <c r="AC41" i="1"/>
  <c r="AE41" i="1" s="1"/>
  <c r="AG41" i="1" s="1"/>
  <c r="AC63" i="1"/>
  <c r="AE63" i="1" s="1"/>
  <c r="AG63" i="1" s="1"/>
  <c r="AA28" i="1"/>
  <c r="Z28" i="1"/>
  <c r="Y28" i="1"/>
  <c r="AC30" i="1"/>
  <c r="AC60" i="1"/>
  <c r="AE60" i="1" s="1"/>
  <c r="AG60" i="1" s="1"/>
  <c r="AD35" i="1"/>
  <c r="Y16" i="1"/>
  <c r="AC52" i="1"/>
  <c r="AE52" i="1" s="1"/>
  <c r="AE14" i="1"/>
  <c r="AG14" i="1" s="1"/>
  <c r="AE45" i="1"/>
  <c r="AG45" i="1" s="1"/>
  <c r="Y54" i="1"/>
  <c r="W54" i="1"/>
  <c r="AC71" i="1"/>
  <c r="AE70" i="1"/>
  <c r="AG70" i="1" s="1"/>
  <c r="AC44" i="1"/>
  <c r="AE61" i="1"/>
  <c r="AC13" i="1"/>
  <c r="AI13" i="1" s="1"/>
  <c r="AL13" i="1" s="1"/>
  <c r="AD67" i="1"/>
  <c r="W64" i="1"/>
  <c r="X64" i="1"/>
  <c r="Y64" i="1"/>
  <c r="Z64" i="1"/>
  <c r="AA64" i="1"/>
  <c r="AC49" i="1"/>
  <c r="AC66" i="1"/>
  <c r="AN47" i="1"/>
  <c r="X16" i="1"/>
  <c r="Z72" i="1"/>
  <c r="Y72" i="1"/>
  <c r="X72" i="1"/>
  <c r="AA72" i="1"/>
  <c r="W72" i="1"/>
  <c r="AC51" i="1"/>
  <c r="AC57" i="1"/>
  <c r="AE58" i="1"/>
  <c r="AG58" i="1" s="1"/>
  <c r="Y21" i="1"/>
  <c r="X21" i="1"/>
  <c r="X28" i="1"/>
  <c r="AC62" i="1"/>
  <c r="AD36" i="1"/>
  <c r="AE59" i="1"/>
  <c r="AG59" i="1" s="1"/>
  <c r="W21" i="1"/>
  <c r="Z21" i="1"/>
  <c r="X54" i="1"/>
  <c r="AC33" i="1"/>
  <c r="AC12" i="1"/>
  <c r="AI12" i="1" s="1"/>
  <c r="AL12" i="1" s="1"/>
  <c r="AC15" i="1"/>
  <c r="AI15" i="1" s="1"/>
  <c r="AL15" i="1" s="1"/>
  <c r="AC50" i="1"/>
  <c r="AA54" i="1"/>
  <c r="AC34" i="1"/>
  <c r="W42" i="1"/>
  <c r="AE30" i="1" l="1"/>
  <c r="AG30" i="1" s="1"/>
  <c r="AI30" i="1"/>
  <c r="AL30" i="1" s="1"/>
  <c r="AD28" i="1"/>
  <c r="AJ28" i="1" s="1"/>
  <c r="AL28" i="1" s="1"/>
  <c r="AD42" i="1"/>
  <c r="AE35" i="1"/>
  <c r="AG35" i="1" s="1"/>
  <c r="AG69" i="1"/>
  <c r="AN69" i="1" s="1"/>
  <c r="AG46" i="1"/>
  <c r="AN46" i="1"/>
  <c r="AE40" i="1"/>
  <c r="AG40" i="1" s="1"/>
  <c r="AN30" i="1"/>
  <c r="AG52" i="1"/>
  <c r="AN52" i="1"/>
  <c r="AN60" i="1"/>
  <c r="AN70" i="1"/>
  <c r="AN14" i="1"/>
  <c r="AD16" i="1"/>
  <c r="AE28" i="1"/>
  <c r="AG28" i="1" s="1"/>
  <c r="AN28" i="1"/>
  <c r="AD21" i="1"/>
  <c r="AJ21" i="1" s="1"/>
  <c r="AL21" i="1" s="1"/>
  <c r="AE66" i="1"/>
  <c r="AE49" i="1"/>
  <c r="AE36" i="1"/>
  <c r="AE62" i="1"/>
  <c r="AD64" i="1"/>
  <c r="AE64" i="1" s="1"/>
  <c r="AE67" i="1"/>
  <c r="AE13" i="1"/>
  <c r="AN56" i="1"/>
  <c r="AN38" i="1"/>
  <c r="AG61" i="1"/>
  <c r="AN61" i="1" s="1"/>
  <c r="AE12" i="1"/>
  <c r="AE42" i="1"/>
  <c r="AN45" i="1"/>
  <c r="AE57" i="1"/>
  <c r="AE44" i="1"/>
  <c r="AE34" i="1"/>
  <c r="AE51" i="1"/>
  <c r="AG51" i="1" s="1"/>
  <c r="AN53" i="1"/>
  <c r="AD72" i="1"/>
  <c r="AN59" i="1"/>
  <c r="AE50" i="1"/>
  <c r="AE71" i="1"/>
  <c r="AG71" i="1" s="1"/>
  <c r="AN71" i="1"/>
  <c r="AE33" i="1"/>
  <c r="AE15" i="1"/>
  <c r="AG15" i="1" s="1"/>
  <c r="AD54" i="1"/>
  <c r="AN58" i="1"/>
  <c r="AN41" i="1"/>
  <c r="AN39" i="1"/>
  <c r="AN63" i="1"/>
  <c r="AE16" i="1" l="1"/>
  <c r="AG16" i="1" s="1"/>
  <c r="AJ16" i="1"/>
  <c r="AL16" i="1" s="1"/>
  <c r="AN35" i="1"/>
  <c r="AG33" i="1"/>
  <c r="AN33" i="1" s="1"/>
  <c r="AN40" i="1"/>
  <c r="AG67" i="1"/>
  <c r="AN67" i="1" s="1"/>
  <c r="AG62" i="1"/>
  <c r="AN62" i="1" s="1"/>
  <c r="AN51" i="1"/>
  <c r="AN15" i="1"/>
  <c r="AN16" i="1"/>
  <c r="AG12" i="1"/>
  <c r="AN12" i="1"/>
  <c r="AG36" i="1"/>
  <c r="AN36" i="1"/>
  <c r="AG42" i="1"/>
  <c r="AN42" i="1"/>
  <c r="AG49" i="1"/>
  <c r="AN49" i="1"/>
  <c r="AG34" i="1"/>
  <c r="AN34" i="1"/>
  <c r="AH64" i="1"/>
  <c r="AG66" i="1"/>
  <c r="AN66" i="1"/>
  <c r="AE21" i="1"/>
  <c r="AG13" i="1"/>
  <c r="AN13" i="1"/>
  <c r="AE54" i="1"/>
  <c r="AG54" i="1" s="1"/>
  <c r="AE72" i="1"/>
  <c r="AN72" i="1"/>
  <c r="AG44" i="1"/>
  <c r="AN44" i="1"/>
  <c r="AG50" i="1"/>
  <c r="AN50" i="1"/>
  <c r="AG57" i="1"/>
  <c r="AN57" i="1" s="1"/>
  <c r="AN64" i="1" l="1"/>
  <c r="AH74" i="1"/>
  <c r="AG21" i="1"/>
  <c r="AN21" i="1"/>
  <c r="AN54" i="1"/>
  <c r="G98" i="14" l="1"/>
  <c r="G99" i="14"/>
  <c r="G100" i="14"/>
  <c r="G101" i="14"/>
  <c r="G102" i="14"/>
  <c r="G103" i="14"/>
  <c r="G104" i="14"/>
  <c r="G105" i="14"/>
  <c r="G106" i="14"/>
  <c r="G107" i="14"/>
  <c r="G108" i="14"/>
  <c r="G109" i="14"/>
  <c r="G110" i="14"/>
  <c r="G97" i="14"/>
  <c r="G96" i="14" s="1"/>
  <c r="H95" i="14" s="1"/>
  <c r="G90" i="14"/>
  <c r="G91" i="14"/>
  <c r="G92" i="14"/>
  <c r="G93" i="14"/>
  <c r="G94" i="14"/>
  <c r="G89" i="14"/>
  <c r="G85" i="14"/>
  <c r="G86" i="14"/>
  <c r="G87" i="14"/>
  <c r="G84" i="14"/>
  <c r="G83" i="14" s="1"/>
  <c r="G52" i="14"/>
  <c r="G53" i="14"/>
  <c r="G54" i="14"/>
  <c r="G55" i="14"/>
  <c r="G56" i="14"/>
  <c r="G51" i="14"/>
  <c r="G47" i="14"/>
  <c r="G48" i="14"/>
  <c r="G49" i="14"/>
  <c r="G46" i="14"/>
  <c r="G58" i="14"/>
  <c r="G12" i="14"/>
  <c r="G14" i="14"/>
  <c r="G15" i="14"/>
  <c r="G16" i="14"/>
  <c r="G17" i="14"/>
  <c r="G18" i="14"/>
  <c r="G13" i="14"/>
  <c r="G9" i="14"/>
  <c r="G10" i="14"/>
  <c r="G11" i="14"/>
  <c r="G8" i="14"/>
  <c r="H160" i="14"/>
  <c r="H157" i="14"/>
  <c r="G134" i="14"/>
  <c r="G154" i="14"/>
  <c r="G140" i="14"/>
  <c r="H137" i="14" s="1"/>
  <c r="G122" i="14"/>
  <c r="G117" i="14"/>
  <c r="H111" i="14"/>
  <c r="G88" i="14"/>
  <c r="H75" i="14"/>
  <c r="G60" i="14"/>
  <c r="H37" i="14"/>
  <c r="G22" i="14"/>
  <c r="H30" i="13"/>
  <c r="G15" i="13"/>
  <c r="G13" i="13"/>
  <c r="H12" i="13" s="1"/>
  <c r="G7" i="13"/>
  <c r="H6" i="13" s="1"/>
  <c r="H164" i="12"/>
  <c r="H246" i="12"/>
  <c r="H241" i="12"/>
  <c r="G224" i="12"/>
  <c r="H221" i="12" s="1"/>
  <c r="H216" i="12"/>
  <c r="G238" i="12"/>
  <c r="G209" i="12"/>
  <c r="G204" i="12"/>
  <c r="H196" i="12"/>
  <c r="H193" i="12"/>
  <c r="G188" i="12"/>
  <c r="H182" i="12"/>
  <c r="G167" i="12"/>
  <c r="G159" i="12"/>
  <c r="H158" i="12" s="1"/>
  <c r="H153" i="12"/>
  <c r="H150" i="12"/>
  <c r="H144" i="12"/>
  <c r="H139" i="12"/>
  <c r="H123" i="12"/>
  <c r="H117" i="12"/>
  <c r="H110" i="12"/>
  <c r="G95" i="12"/>
  <c r="H92" i="12" s="1"/>
  <c r="G87" i="12"/>
  <c r="H79" i="12"/>
  <c r="G64" i="12"/>
  <c r="G62" i="12"/>
  <c r="G56" i="12"/>
  <c r="H48" i="12"/>
  <c r="G44" i="12"/>
  <c r="G29" i="12"/>
  <c r="G21" i="12"/>
  <c r="G16" i="12"/>
  <c r="G13" i="12"/>
  <c r="G7" i="12"/>
  <c r="G91" i="11"/>
  <c r="G92" i="11"/>
  <c r="G93" i="11"/>
  <c r="G90" i="11"/>
  <c r="G46" i="11"/>
  <c r="G45" i="11" s="1"/>
  <c r="H44" i="11" s="1"/>
  <c r="G130" i="11"/>
  <c r="G128" i="11"/>
  <c r="H127" i="11" s="1"/>
  <c r="G125" i="11"/>
  <c r="G123" i="11"/>
  <c r="H122" i="11" s="1"/>
  <c r="G119" i="11"/>
  <c r="G105" i="11"/>
  <c r="G103" i="11"/>
  <c r="G99" i="11"/>
  <c r="G96" i="11"/>
  <c r="G95" i="11" s="1"/>
  <c r="H94" i="11" s="1"/>
  <c r="G68" i="11"/>
  <c r="G66" i="11"/>
  <c r="G61" i="11"/>
  <c r="H60" i="11" s="1"/>
  <c r="G55" i="11"/>
  <c r="H54" i="11" s="1"/>
  <c r="G50" i="11"/>
  <c r="G48" i="11"/>
  <c r="G39" i="11"/>
  <c r="H38" i="11" s="1"/>
  <c r="G34" i="11"/>
  <c r="G29" i="11"/>
  <c r="G23" i="11"/>
  <c r="H22" i="11" s="1"/>
  <c r="H12" i="11"/>
  <c r="G18" i="11"/>
  <c r="G7" i="11"/>
  <c r="G88" i="10"/>
  <c r="G61" i="10"/>
  <c r="G60" i="10" s="1"/>
  <c r="G84" i="10"/>
  <c r="G82" i="10"/>
  <c r="G77" i="10"/>
  <c r="G62" i="10"/>
  <c r="G54" i="10"/>
  <c r="G49" i="10"/>
  <c r="G47" i="10"/>
  <c r="H46" i="10" s="1"/>
  <c r="G42" i="10"/>
  <c r="G40" i="10"/>
  <c r="H39" i="10" s="1"/>
  <c r="G34" i="10"/>
  <c r="H33" i="10" s="1"/>
  <c r="G29" i="10"/>
  <c r="G13" i="10"/>
  <c r="G7" i="10"/>
  <c r="G132" i="9"/>
  <c r="G130" i="9"/>
  <c r="G127" i="9"/>
  <c r="G123" i="9"/>
  <c r="G109" i="9"/>
  <c r="G107" i="9"/>
  <c r="H106" i="9" s="1"/>
  <c r="G103" i="9"/>
  <c r="G101" i="9"/>
  <c r="H100" i="9" s="1"/>
  <c r="G95" i="9"/>
  <c r="H94" i="9" s="1"/>
  <c r="H87" i="9"/>
  <c r="G83" i="9"/>
  <c r="H80" i="9" s="1"/>
  <c r="G81" i="9"/>
  <c r="G75" i="9"/>
  <c r="H74" i="9" s="1"/>
  <c r="H69" i="9"/>
  <c r="G65" i="9"/>
  <c r="H64" i="9" s="1"/>
  <c r="G59" i="9"/>
  <c r="H58" i="9" s="1"/>
  <c r="H51" i="9"/>
  <c r="G49" i="9"/>
  <c r="H48" i="9" s="1"/>
  <c r="G43" i="9"/>
  <c r="H42" i="9" s="1"/>
  <c r="H35" i="9"/>
  <c r="G22" i="9"/>
  <c r="G16" i="9"/>
  <c r="G15" i="9" s="1"/>
  <c r="G13" i="9"/>
  <c r="G7" i="9"/>
  <c r="H6" i="9" s="1"/>
  <c r="G58" i="8"/>
  <c r="G55" i="8"/>
  <c r="G49" i="8"/>
  <c r="H48" i="8" s="1"/>
  <c r="G44" i="8"/>
  <c r="G42" i="8"/>
  <c r="G26" i="8"/>
  <c r="G24" i="8"/>
  <c r="G18" i="8"/>
  <c r="H17" i="8" s="1"/>
  <c r="G13" i="8"/>
  <c r="H12" i="8" s="1"/>
  <c r="G7" i="8"/>
  <c r="H6" i="8" s="1"/>
  <c r="G22" i="7"/>
  <c r="G23" i="7"/>
  <c r="G24" i="7"/>
  <c r="G25" i="7"/>
  <c r="G26" i="7"/>
  <c r="G27" i="7"/>
  <c r="G28" i="7"/>
  <c r="G29" i="7"/>
  <c r="G30" i="7"/>
  <c r="G31" i="7"/>
  <c r="G32" i="7"/>
  <c r="G33" i="7"/>
  <c r="G34" i="7"/>
  <c r="G21" i="7"/>
  <c r="G17" i="7"/>
  <c r="G18" i="7"/>
  <c r="G13" i="7"/>
  <c r="H48" i="7"/>
  <c r="H40" i="7"/>
  <c r="M31" i="1" s="1"/>
  <c r="S31" i="1" s="1"/>
  <c r="G36" i="7"/>
  <c r="G12" i="7"/>
  <c r="G7" i="7"/>
  <c r="G52" i="6"/>
  <c r="G46" i="6"/>
  <c r="G45" i="6" s="1"/>
  <c r="G58" i="6"/>
  <c r="H57" i="6" s="1"/>
  <c r="G55" i="6"/>
  <c r="H54" i="6" s="1"/>
  <c r="G51" i="6"/>
  <c r="G49" i="6"/>
  <c r="G43" i="6"/>
  <c r="G41" i="6"/>
  <c r="G34" i="6"/>
  <c r="G24" i="6"/>
  <c r="G23" i="6"/>
  <c r="G22" i="6"/>
  <c r="G33" i="6"/>
  <c r="G28" i="6"/>
  <c r="G21" i="6"/>
  <c r="G18" i="6"/>
  <c r="G12" i="6" s="1"/>
  <c r="G36" i="6"/>
  <c r="H35" i="6" s="1"/>
  <c r="G129" i="5"/>
  <c r="G127" i="5"/>
  <c r="G124" i="5"/>
  <c r="H123" i="5" s="1"/>
  <c r="O25" i="1" s="1"/>
  <c r="G120" i="5"/>
  <c r="G106" i="5"/>
  <c r="G104" i="5"/>
  <c r="G100" i="5"/>
  <c r="G98" i="5"/>
  <c r="G96" i="5"/>
  <c r="G91" i="5"/>
  <c r="G89" i="5"/>
  <c r="G75" i="5"/>
  <c r="G69" i="5"/>
  <c r="G68" i="5" s="1"/>
  <c r="G64" i="5"/>
  <c r="G49" i="5"/>
  <c r="G47" i="5"/>
  <c r="G39" i="5"/>
  <c r="G34" i="5"/>
  <c r="G29" i="5"/>
  <c r="G13" i="5"/>
  <c r="G7" i="5"/>
  <c r="G146" i="4"/>
  <c r="H145" i="4" s="1"/>
  <c r="G142" i="4"/>
  <c r="H141" i="4" s="1"/>
  <c r="G138" i="4"/>
  <c r="G136" i="4"/>
  <c r="G134" i="4"/>
  <c r="H133" i="4" s="1"/>
  <c r="G126" i="4"/>
  <c r="G121" i="4"/>
  <c r="G116" i="4"/>
  <c r="G100" i="4"/>
  <c r="H99" i="4" s="1"/>
  <c r="G94" i="4"/>
  <c r="G89" i="4"/>
  <c r="G87" i="4"/>
  <c r="G71" i="4"/>
  <c r="G65" i="4"/>
  <c r="H64" i="4" s="1"/>
  <c r="G60" i="4"/>
  <c r="G58" i="4"/>
  <c r="G44" i="4"/>
  <c r="G38" i="4"/>
  <c r="G22" i="4"/>
  <c r="G20" i="4"/>
  <c r="G12" i="4"/>
  <c r="G7" i="4"/>
  <c r="G208" i="3"/>
  <c r="G206" i="3"/>
  <c r="H205" i="3" s="1"/>
  <c r="G203" i="3"/>
  <c r="G199" i="3"/>
  <c r="G185" i="3"/>
  <c r="G183" i="3"/>
  <c r="G180" i="3"/>
  <c r="G178" i="3"/>
  <c r="G170" i="3"/>
  <c r="G165" i="3"/>
  <c r="K132" i="3"/>
  <c r="I139" i="3" s="1"/>
  <c r="G129" i="3"/>
  <c r="G127" i="3"/>
  <c r="G113" i="3"/>
  <c r="G107" i="3"/>
  <c r="G91" i="3"/>
  <c r="G89" i="3"/>
  <c r="G81" i="3"/>
  <c r="G76" i="3"/>
  <c r="G71" i="3"/>
  <c r="G69" i="3"/>
  <c r="G53" i="3"/>
  <c r="G51" i="3"/>
  <c r="G43" i="3"/>
  <c r="G38" i="3"/>
  <c r="G33" i="3"/>
  <c r="G31" i="3"/>
  <c r="G15" i="3"/>
  <c r="G13" i="3"/>
  <c r="G7" i="3"/>
  <c r="H6" i="3" s="1"/>
  <c r="I174" i="2"/>
  <c r="I172" i="2"/>
  <c r="I169" i="2"/>
  <c r="J168" i="2" s="1"/>
  <c r="O10" i="1" s="1"/>
  <c r="I165" i="2"/>
  <c r="I151" i="2"/>
  <c r="I149" i="2"/>
  <c r="I146" i="2"/>
  <c r="I144" i="2"/>
  <c r="I139" i="2"/>
  <c r="I137" i="2"/>
  <c r="I132" i="2"/>
  <c r="I127" i="2"/>
  <c r="I122" i="2"/>
  <c r="I120" i="2"/>
  <c r="I106" i="2"/>
  <c r="I100" i="2"/>
  <c r="I95" i="2"/>
  <c r="I89" i="2"/>
  <c r="J88" i="2" s="1"/>
  <c r="I84" i="2"/>
  <c r="I82" i="2"/>
  <c r="I77" i="2"/>
  <c r="I75" i="2"/>
  <c r="I69" i="2"/>
  <c r="J68" i="2" s="1"/>
  <c r="I64" i="2"/>
  <c r="I62" i="2"/>
  <c r="I46" i="2"/>
  <c r="I44" i="2"/>
  <c r="I38" i="2"/>
  <c r="J37" i="2" s="1"/>
  <c r="I33" i="2"/>
  <c r="I31" i="2"/>
  <c r="O74" i="1" l="1"/>
  <c r="U31" i="1"/>
  <c r="H33" i="5"/>
  <c r="H88" i="5"/>
  <c r="H126" i="5"/>
  <c r="H6" i="4"/>
  <c r="H57" i="4"/>
  <c r="G50" i="14"/>
  <c r="G45" i="14"/>
  <c r="G7" i="14"/>
  <c r="H6" i="14" s="1"/>
  <c r="H116" i="14"/>
  <c r="H129" i="14"/>
  <c r="H82" i="14"/>
  <c r="H57" i="14"/>
  <c r="H19" i="14"/>
  <c r="K5" i="13"/>
  <c r="H203" i="12"/>
  <c r="H187" i="12"/>
  <c r="K143" i="12"/>
  <c r="K157" i="12"/>
  <c r="I149" i="12"/>
  <c r="I148" i="12"/>
  <c r="I147" i="12"/>
  <c r="I146" i="12"/>
  <c r="I151" i="12"/>
  <c r="I152" i="12"/>
  <c r="I154" i="12"/>
  <c r="H61" i="12"/>
  <c r="K116" i="12"/>
  <c r="H86" i="12"/>
  <c r="H55" i="12"/>
  <c r="H20" i="12"/>
  <c r="H26" i="12"/>
  <c r="H6" i="12"/>
  <c r="H12" i="12"/>
  <c r="H15" i="12"/>
  <c r="G89" i="11"/>
  <c r="H88" i="11" s="1"/>
  <c r="H102" i="11"/>
  <c r="K87" i="11"/>
  <c r="I127" i="11" s="1"/>
  <c r="H65" i="11"/>
  <c r="K53" i="11" s="1"/>
  <c r="H47" i="11"/>
  <c r="H28" i="11"/>
  <c r="K37" i="11"/>
  <c r="H33" i="11"/>
  <c r="H6" i="11"/>
  <c r="K21" i="11"/>
  <c r="H17" i="11"/>
  <c r="K32" i="10"/>
  <c r="H53" i="10"/>
  <c r="H59" i="10"/>
  <c r="H81" i="10"/>
  <c r="I34" i="10"/>
  <c r="I40" i="10"/>
  <c r="H6" i="10"/>
  <c r="H12" i="10"/>
  <c r="H28" i="10"/>
  <c r="H12" i="9"/>
  <c r="K41" i="9"/>
  <c r="I48" i="9" s="1"/>
  <c r="I42" i="9"/>
  <c r="K57" i="9"/>
  <c r="I64" i="9"/>
  <c r="K5" i="9"/>
  <c r="I12" i="9"/>
  <c r="H126" i="9"/>
  <c r="I65" i="9"/>
  <c r="H129" i="9"/>
  <c r="K73" i="9"/>
  <c r="I75" i="9" s="1"/>
  <c r="H23" i="8"/>
  <c r="H41" i="8"/>
  <c r="H54" i="8"/>
  <c r="H57" i="8"/>
  <c r="K5" i="8"/>
  <c r="G20" i="7"/>
  <c r="H19" i="7" s="1"/>
  <c r="K39" i="7"/>
  <c r="H35" i="7"/>
  <c r="H6" i="7"/>
  <c r="H48" i="6"/>
  <c r="H40" i="6"/>
  <c r="K40" i="6" s="1"/>
  <c r="G62" i="6" s="1"/>
  <c r="H6" i="6"/>
  <c r="G20" i="6"/>
  <c r="H19" i="6" s="1"/>
  <c r="H95" i="5"/>
  <c r="H103" i="5"/>
  <c r="H46" i="5"/>
  <c r="H12" i="5"/>
  <c r="H28" i="5"/>
  <c r="H6" i="5"/>
  <c r="H120" i="4"/>
  <c r="K119" i="4" s="1"/>
  <c r="G150" i="4" s="1"/>
  <c r="G37" i="4"/>
  <c r="H19" i="4" s="1"/>
  <c r="K5" i="4" s="1"/>
  <c r="J18" i="1" s="1"/>
  <c r="I132" i="4"/>
  <c r="I131" i="4"/>
  <c r="I130" i="4"/>
  <c r="I129" i="4"/>
  <c r="I128" i="4"/>
  <c r="I127" i="4"/>
  <c r="I126" i="4"/>
  <c r="I125" i="4"/>
  <c r="I124" i="4"/>
  <c r="I123" i="4"/>
  <c r="I122" i="4"/>
  <c r="I145" i="4"/>
  <c r="I143" i="4"/>
  <c r="I146" i="4"/>
  <c r="I133" i="4"/>
  <c r="I147" i="4"/>
  <c r="I121" i="4"/>
  <c r="H86" i="4"/>
  <c r="H93" i="4"/>
  <c r="H115" i="4"/>
  <c r="H50" i="3"/>
  <c r="H75" i="3"/>
  <c r="H164" i="3"/>
  <c r="H68" i="3"/>
  <c r="H126" i="3"/>
  <c r="H177" i="3"/>
  <c r="K163" i="3"/>
  <c r="I164" i="3" s="1"/>
  <c r="I140" i="3"/>
  <c r="I156" i="3"/>
  <c r="H30" i="3"/>
  <c r="H37" i="3"/>
  <c r="K36" i="3" s="1"/>
  <c r="I38" i="3" s="1"/>
  <c r="I183" i="3"/>
  <c r="I155" i="3"/>
  <c r="I154" i="3"/>
  <c r="I153" i="3"/>
  <c r="I152" i="3"/>
  <c r="I151" i="3"/>
  <c r="I150" i="3"/>
  <c r="I149" i="3"/>
  <c r="I148" i="3"/>
  <c r="I147" i="3"/>
  <c r="I146" i="3"/>
  <c r="G106" i="3"/>
  <c r="H88" i="3" s="1"/>
  <c r="I145" i="3"/>
  <c r="I144" i="3"/>
  <c r="I143" i="3"/>
  <c r="I142" i="3"/>
  <c r="I141" i="3"/>
  <c r="H12" i="3"/>
  <c r="I133" i="3"/>
  <c r="I157" i="3"/>
  <c r="I134" i="3"/>
  <c r="I158" i="3"/>
  <c r="I138" i="3"/>
  <c r="I161" i="3"/>
  <c r="I137" i="3"/>
  <c r="I160" i="3"/>
  <c r="I136" i="3"/>
  <c r="I159" i="3"/>
  <c r="I135" i="3"/>
  <c r="J74" i="2"/>
  <c r="J81" i="2"/>
  <c r="J30" i="2"/>
  <c r="J126" i="2"/>
  <c r="J143" i="2"/>
  <c r="M10" i="1" s="1"/>
  <c r="J136" i="2"/>
  <c r="J148" i="2"/>
  <c r="N10" i="1" s="1"/>
  <c r="J171" i="2"/>
  <c r="P10" i="1" s="1"/>
  <c r="I99" i="2"/>
  <c r="J119" i="2"/>
  <c r="J43" i="2"/>
  <c r="J61" i="2"/>
  <c r="S10" i="1" l="1"/>
  <c r="R18" i="1"/>
  <c r="G133" i="11"/>
  <c r="I85" i="11"/>
  <c r="I82" i="11"/>
  <c r="I81" i="11"/>
  <c r="I80" i="11"/>
  <c r="I76" i="11"/>
  <c r="I75" i="11"/>
  <c r="I74" i="11"/>
  <c r="I84" i="11"/>
  <c r="I73" i="11"/>
  <c r="I79" i="11"/>
  <c r="I77" i="11"/>
  <c r="I83" i="11"/>
  <c r="I78" i="11"/>
  <c r="I72" i="11"/>
  <c r="X31" i="1"/>
  <c r="Y31" i="1"/>
  <c r="Z31" i="1"/>
  <c r="AA31" i="1"/>
  <c r="W31" i="1"/>
  <c r="K5" i="6"/>
  <c r="N25" i="1"/>
  <c r="N74" i="1" s="1"/>
  <c r="M25" i="1"/>
  <c r="M74" i="1" s="1"/>
  <c r="P25" i="1"/>
  <c r="P74" i="1" s="1"/>
  <c r="I126" i="5"/>
  <c r="K32" i="5"/>
  <c r="I46" i="5" s="1"/>
  <c r="I141" i="4"/>
  <c r="I144" i="4"/>
  <c r="I142" i="4"/>
  <c r="I135" i="4"/>
  <c r="I136" i="4"/>
  <c r="I137" i="4"/>
  <c r="I138" i="4"/>
  <c r="I120" i="4"/>
  <c r="I139" i="4"/>
  <c r="I140" i="4"/>
  <c r="I134" i="4"/>
  <c r="H44" i="14"/>
  <c r="K43" i="14" s="1"/>
  <c r="K5" i="14"/>
  <c r="K115" i="14"/>
  <c r="G167" i="14" s="1"/>
  <c r="K81" i="14"/>
  <c r="I39" i="14"/>
  <c r="I11" i="14"/>
  <c r="I40" i="14"/>
  <c r="I12" i="14"/>
  <c r="I41" i="14"/>
  <c r="I13" i="14"/>
  <c r="I38" i="14"/>
  <c r="I14" i="14"/>
  <c r="I21" i="14"/>
  <c r="I15" i="14"/>
  <c r="I16" i="14"/>
  <c r="I23" i="14"/>
  <c r="I17" i="14"/>
  <c r="I24" i="14"/>
  <c r="I18" i="14"/>
  <c r="I25" i="14"/>
  <c r="I7" i="14"/>
  <c r="I26" i="14"/>
  <c r="I27" i="14"/>
  <c r="I10" i="14"/>
  <c r="I28" i="14"/>
  <c r="I29" i="14"/>
  <c r="I30" i="14"/>
  <c r="I31" i="14"/>
  <c r="I32" i="14"/>
  <c r="I33" i="14"/>
  <c r="I34" i="14"/>
  <c r="I35" i="14"/>
  <c r="I36" i="14"/>
  <c r="I20" i="14"/>
  <c r="I8" i="14"/>
  <c r="I9" i="14"/>
  <c r="I19" i="14"/>
  <c r="I37" i="14"/>
  <c r="I22" i="14"/>
  <c r="I6" i="14"/>
  <c r="G37" i="13"/>
  <c r="G39" i="13" s="1"/>
  <c r="I10" i="13"/>
  <c r="I32" i="13"/>
  <c r="I11" i="13"/>
  <c r="I33" i="13"/>
  <c r="I34" i="13"/>
  <c r="I31" i="13"/>
  <c r="I14" i="13"/>
  <c r="I16" i="13"/>
  <c r="I17" i="13"/>
  <c r="I18" i="13"/>
  <c r="I19" i="13"/>
  <c r="I9" i="13"/>
  <c r="I20" i="13"/>
  <c r="I21" i="13"/>
  <c r="I22" i="13"/>
  <c r="I23" i="13"/>
  <c r="I24" i="13"/>
  <c r="I25" i="13"/>
  <c r="I26" i="13"/>
  <c r="I27" i="13"/>
  <c r="I28" i="13"/>
  <c r="I29" i="13"/>
  <c r="I13" i="13"/>
  <c r="I8" i="13"/>
  <c r="I30" i="13"/>
  <c r="I6" i="13"/>
  <c r="I7" i="13"/>
  <c r="I15" i="13"/>
  <c r="I12" i="13"/>
  <c r="I155" i="12"/>
  <c r="K186" i="12"/>
  <c r="K202" i="12"/>
  <c r="I145" i="12"/>
  <c r="I184" i="12"/>
  <c r="I183" i="12"/>
  <c r="I166" i="12"/>
  <c r="I168" i="12"/>
  <c r="I174" i="12"/>
  <c r="I159" i="12"/>
  <c r="I169" i="12"/>
  <c r="I170" i="12"/>
  <c r="I171" i="12"/>
  <c r="I163" i="12"/>
  <c r="I172" i="12"/>
  <c r="I173" i="12"/>
  <c r="I175" i="12"/>
  <c r="I162" i="12"/>
  <c r="I176" i="12"/>
  <c r="I177" i="12"/>
  <c r="I178" i="12"/>
  <c r="I179" i="12"/>
  <c r="I180" i="12"/>
  <c r="I181" i="12"/>
  <c r="I165" i="12"/>
  <c r="I160" i="12"/>
  <c r="I161" i="12"/>
  <c r="I150" i="12"/>
  <c r="I153" i="12"/>
  <c r="I144" i="12"/>
  <c r="I182" i="12"/>
  <c r="I164" i="12"/>
  <c r="I167" i="12"/>
  <c r="I158" i="12"/>
  <c r="I141" i="12"/>
  <c r="I140" i="12"/>
  <c r="I125" i="12"/>
  <c r="I126" i="12"/>
  <c r="I127" i="12"/>
  <c r="I128" i="12"/>
  <c r="I129" i="12"/>
  <c r="I130" i="12"/>
  <c r="I131" i="12"/>
  <c r="I132" i="12"/>
  <c r="I139" i="12"/>
  <c r="I133" i="12"/>
  <c r="I134" i="12"/>
  <c r="I135" i="12"/>
  <c r="I136" i="12"/>
  <c r="I137" i="12"/>
  <c r="I138" i="12"/>
  <c r="I124" i="12"/>
  <c r="I119" i="12"/>
  <c r="I120" i="12"/>
  <c r="I121" i="12"/>
  <c r="I122" i="12"/>
  <c r="I118" i="12"/>
  <c r="I123" i="12"/>
  <c r="I117" i="12"/>
  <c r="K85" i="12"/>
  <c r="K54" i="12"/>
  <c r="K19" i="12"/>
  <c r="K5" i="12"/>
  <c r="I122" i="11"/>
  <c r="I102" i="11"/>
  <c r="I94" i="11"/>
  <c r="I54" i="11"/>
  <c r="I68" i="11"/>
  <c r="I61" i="11"/>
  <c r="I65" i="11"/>
  <c r="I60" i="11"/>
  <c r="G134" i="11"/>
  <c r="L87" i="11" s="1"/>
  <c r="I88" i="11"/>
  <c r="I49" i="11"/>
  <c r="I50" i="11"/>
  <c r="I51" i="11"/>
  <c r="I48" i="11"/>
  <c r="I46" i="11"/>
  <c r="I45" i="11"/>
  <c r="I40" i="11"/>
  <c r="I41" i="11"/>
  <c r="I42" i="11"/>
  <c r="I43" i="11"/>
  <c r="I39" i="11"/>
  <c r="I28" i="11"/>
  <c r="I66" i="11"/>
  <c r="I33" i="11"/>
  <c r="K5" i="11"/>
  <c r="I69" i="11"/>
  <c r="I67" i="11"/>
  <c r="I62" i="11"/>
  <c r="I63" i="11"/>
  <c r="I64" i="11"/>
  <c r="I56" i="11"/>
  <c r="I57" i="11"/>
  <c r="I58" i="11"/>
  <c r="I59" i="11"/>
  <c r="I55" i="11"/>
  <c r="I44" i="11"/>
  <c r="I35" i="11"/>
  <c r="I30" i="11"/>
  <c r="I31" i="11"/>
  <c r="I32" i="11"/>
  <c r="I24" i="11"/>
  <c r="I25" i="11"/>
  <c r="I26" i="11"/>
  <c r="I27" i="11"/>
  <c r="I23" i="11"/>
  <c r="I47" i="11"/>
  <c r="I38" i="11"/>
  <c r="I22" i="11"/>
  <c r="I34" i="11"/>
  <c r="I29" i="11"/>
  <c r="I17" i="11"/>
  <c r="K52" i="10"/>
  <c r="I41" i="10"/>
  <c r="I43" i="10"/>
  <c r="I44" i="10"/>
  <c r="I45" i="10"/>
  <c r="I35" i="10"/>
  <c r="I36" i="10"/>
  <c r="I37" i="10"/>
  <c r="I38" i="10"/>
  <c r="I50" i="10"/>
  <c r="I47" i="10"/>
  <c r="I49" i="10"/>
  <c r="I48" i="10"/>
  <c r="I42" i="10"/>
  <c r="I46" i="10"/>
  <c r="I39" i="10"/>
  <c r="I33" i="10"/>
  <c r="K5" i="10"/>
  <c r="I87" i="9"/>
  <c r="I80" i="9"/>
  <c r="I26" i="9"/>
  <c r="I27" i="9"/>
  <c r="I28" i="9"/>
  <c r="I29" i="9"/>
  <c r="I30" i="9"/>
  <c r="I7" i="9"/>
  <c r="I31" i="9"/>
  <c r="I8" i="9"/>
  <c r="I32" i="9"/>
  <c r="I9" i="9"/>
  <c r="I33" i="9"/>
  <c r="I10" i="9"/>
  <c r="I34" i="9"/>
  <c r="I11" i="9"/>
  <c r="I35" i="9"/>
  <c r="I36" i="9"/>
  <c r="I13" i="9"/>
  <c r="I37" i="9"/>
  <c r="I25" i="9"/>
  <c r="G135" i="9"/>
  <c r="I14" i="9"/>
  <c r="I38" i="9"/>
  <c r="I15" i="9"/>
  <c r="I39" i="9"/>
  <c r="I16" i="9"/>
  <c r="I17" i="9"/>
  <c r="I18" i="9"/>
  <c r="I19" i="9"/>
  <c r="I20" i="9"/>
  <c r="I21" i="9"/>
  <c r="I22" i="9"/>
  <c r="I23" i="9"/>
  <c r="I24" i="9"/>
  <c r="I6" i="9"/>
  <c r="I69" i="9"/>
  <c r="I71" i="9"/>
  <c r="I70" i="9"/>
  <c r="I59" i="9"/>
  <c r="I66" i="9"/>
  <c r="I67" i="9"/>
  <c r="I68" i="9"/>
  <c r="I60" i="9"/>
  <c r="I61" i="9"/>
  <c r="I62" i="9"/>
  <c r="I63" i="9"/>
  <c r="I77" i="9"/>
  <c r="I78" i="9"/>
  <c r="I79" i="9"/>
  <c r="I74" i="9"/>
  <c r="I89" i="9"/>
  <c r="I76" i="9"/>
  <c r="I90" i="9"/>
  <c r="I91" i="9"/>
  <c r="I88" i="9"/>
  <c r="I82" i="9"/>
  <c r="I84" i="9"/>
  <c r="I85" i="9"/>
  <c r="I86" i="9"/>
  <c r="I81" i="9"/>
  <c r="I58" i="9"/>
  <c r="K93" i="9"/>
  <c r="I126" i="9" s="1"/>
  <c r="I129" i="9"/>
  <c r="I83" i="9"/>
  <c r="I43" i="9"/>
  <c r="I44" i="9"/>
  <c r="I45" i="9"/>
  <c r="I46" i="9"/>
  <c r="I47" i="9"/>
  <c r="I49" i="9"/>
  <c r="I50" i="9"/>
  <c r="I51" i="9"/>
  <c r="I52" i="9"/>
  <c r="I53" i="9"/>
  <c r="I54" i="9"/>
  <c r="I55" i="9"/>
  <c r="I9" i="8"/>
  <c r="I10" i="8"/>
  <c r="I11" i="8"/>
  <c r="I14" i="8"/>
  <c r="I13" i="8"/>
  <c r="I8" i="8"/>
  <c r="K16" i="8"/>
  <c r="I23" i="8" s="1"/>
  <c r="I12" i="8"/>
  <c r="I6" i="8"/>
  <c r="K47" i="8"/>
  <c r="I54" i="8" s="1"/>
  <c r="I7" i="8"/>
  <c r="I50" i="7"/>
  <c r="I49" i="7"/>
  <c r="G53" i="7"/>
  <c r="I42" i="7"/>
  <c r="I43" i="7"/>
  <c r="I44" i="7"/>
  <c r="I45" i="7"/>
  <c r="I46" i="7"/>
  <c r="I47" i="7"/>
  <c r="I41" i="7"/>
  <c r="I40" i="7"/>
  <c r="I48" i="7"/>
  <c r="K5" i="7"/>
  <c r="I57" i="6"/>
  <c r="I55" i="6"/>
  <c r="I51" i="6"/>
  <c r="I54" i="6"/>
  <c r="I49" i="6"/>
  <c r="I58" i="6"/>
  <c r="I48" i="6"/>
  <c r="I45" i="6"/>
  <c r="I40" i="6"/>
  <c r="I59" i="6"/>
  <c r="I56" i="6"/>
  <c r="I50" i="6"/>
  <c r="I52" i="6"/>
  <c r="I53" i="6"/>
  <c r="I42" i="6"/>
  <c r="I43" i="6"/>
  <c r="I44" i="6"/>
  <c r="I46" i="6"/>
  <c r="I47" i="6"/>
  <c r="I41" i="6"/>
  <c r="I37" i="6"/>
  <c r="I15" i="6"/>
  <c r="I36" i="6"/>
  <c r="I16" i="6"/>
  <c r="I14" i="6"/>
  <c r="I21" i="6"/>
  <c r="I17" i="6"/>
  <c r="I22" i="6"/>
  <c r="I18" i="6"/>
  <c r="I23" i="6"/>
  <c r="I7" i="6"/>
  <c r="I24" i="6"/>
  <c r="I19" i="6"/>
  <c r="I25" i="6"/>
  <c r="I35" i="6"/>
  <c r="I26" i="6"/>
  <c r="I27" i="6"/>
  <c r="I28" i="6"/>
  <c r="I29" i="6"/>
  <c r="I30" i="6"/>
  <c r="I31" i="6"/>
  <c r="I32" i="6"/>
  <c r="I33" i="6"/>
  <c r="I34" i="6"/>
  <c r="I20" i="6"/>
  <c r="I8" i="6"/>
  <c r="I9" i="6"/>
  <c r="I10" i="6"/>
  <c r="I11" i="6"/>
  <c r="I12" i="6"/>
  <c r="I13" i="6"/>
  <c r="I6" i="6"/>
  <c r="K5" i="5"/>
  <c r="J23" i="1" s="1"/>
  <c r="R23" i="1" s="1"/>
  <c r="I32" i="4"/>
  <c r="I44" i="4"/>
  <c r="I50" i="4"/>
  <c r="I47" i="4"/>
  <c r="I52" i="4"/>
  <c r="I31" i="4"/>
  <c r="I58" i="4"/>
  <c r="I14" i="4"/>
  <c r="I11" i="4"/>
  <c r="I36" i="4"/>
  <c r="I7" i="4"/>
  <c r="I30" i="4"/>
  <c r="I61" i="4"/>
  <c r="I59" i="4"/>
  <c r="I18" i="4"/>
  <c r="I29" i="4"/>
  <c r="I42" i="4"/>
  <c r="I10" i="4"/>
  <c r="I28" i="4"/>
  <c r="I60" i="4"/>
  <c r="I43" i="4"/>
  <c r="I51" i="4"/>
  <c r="I15" i="4"/>
  <c r="I27" i="4"/>
  <c r="I41" i="4"/>
  <c r="I34" i="4"/>
  <c r="I54" i="4"/>
  <c r="I21" i="4"/>
  <c r="I26" i="4"/>
  <c r="I46" i="4"/>
  <c r="I45" i="4"/>
  <c r="I35" i="4"/>
  <c r="I49" i="4"/>
  <c r="I40" i="4"/>
  <c r="I23" i="4"/>
  <c r="I25" i="4"/>
  <c r="I13" i="4"/>
  <c r="I9" i="4"/>
  <c r="I6" i="4"/>
  <c r="I39" i="4"/>
  <c r="I33" i="4"/>
  <c r="I17" i="4"/>
  <c r="I48" i="4"/>
  <c r="I12" i="4"/>
  <c r="I37" i="4"/>
  <c r="I19" i="4"/>
  <c r="I53" i="4"/>
  <c r="I16" i="4"/>
  <c r="I24" i="4"/>
  <c r="I38" i="4"/>
  <c r="I20" i="4"/>
  <c r="I22" i="4"/>
  <c r="I8" i="4"/>
  <c r="I57" i="4"/>
  <c r="I56" i="4"/>
  <c r="I55" i="4"/>
  <c r="K63" i="4"/>
  <c r="I79" i="4" s="1"/>
  <c r="K92" i="4"/>
  <c r="J20" i="1" s="1"/>
  <c r="R20" i="1" s="1"/>
  <c r="M67" i="2"/>
  <c r="J7" i="1" s="1"/>
  <c r="R7" i="1" s="1"/>
  <c r="K74" i="3"/>
  <c r="K75" i="2"/>
  <c r="I177" i="3"/>
  <c r="K5" i="3"/>
  <c r="I32" i="3" s="1"/>
  <c r="I208" i="3"/>
  <c r="I203" i="3"/>
  <c r="I185" i="3"/>
  <c r="I170" i="3"/>
  <c r="I205" i="3"/>
  <c r="I182" i="3"/>
  <c r="I71" i="3"/>
  <c r="I180" i="3"/>
  <c r="I53" i="3"/>
  <c r="M36" i="2"/>
  <c r="J94" i="2"/>
  <c r="I37" i="3"/>
  <c r="I72" i="3"/>
  <c r="I43" i="3"/>
  <c r="I42" i="3"/>
  <c r="I41" i="3"/>
  <c r="I40" i="3"/>
  <c r="I54" i="3"/>
  <c r="I70" i="3"/>
  <c r="I47" i="3"/>
  <c r="I56" i="3"/>
  <c r="I67" i="3"/>
  <c r="I48" i="3"/>
  <c r="I66" i="3"/>
  <c r="I65" i="3"/>
  <c r="I64" i="3"/>
  <c r="I39" i="3"/>
  <c r="I50" i="3"/>
  <c r="I51" i="3"/>
  <c r="I61" i="3"/>
  <c r="I46" i="3"/>
  <c r="I45" i="3"/>
  <c r="I57" i="3"/>
  <c r="I59" i="3"/>
  <c r="I68" i="3"/>
  <c r="I58" i="3"/>
  <c r="I52" i="3"/>
  <c r="I55" i="3"/>
  <c r="I63" i="3"/>
  <c r="I62" i="3"/>
  <c r="I60" i="3"/>
  <c r="I69" i="3"/>
  <c r="I44" i="3"/>
  <c r="I49" i="3"/>
  <c r="G212" i="3"/>
  <c r="I207" i="3"/>
  <c r="I204" i="3"/>
  <c r="I202" i="3"/>
  <c r="I179" i="3"/>
  <c r="I181" i="3"/>
  <c r="I178" i="3"/>
  <c r="I209" i="3"/>
  <c r="I206" i="3"/>
  <c r="I184" i="3"/>
  <c r="I186" i="3"/>
  <c r="I166" i="3"/>
  <c r="I187" i="3"/>
  <c r="I167" i="3"/>
  <c r="I188" i="3"/>
  <c r="I168" i="3"/>
  <c r="I189" i="3"/>
  <c r="I169" i="3"/>
  <c r="I190" i="3"/>
  <c r="I171" i="3"/>
  <c r="I191" i="3"/>
  <c r="I176" i="3"/>
  <c r="I192" i="3"/>
  <c r="I172" i="3"/>
  <c r="I193" i="3"/>
  <c r="I173" i="3"/>
  <c r="I194" i="3"/>
  <c r="I174" i="3"/>
  <c r="I195" i="3"/>
  <c r="I175" i="3"/>
  <c r="I196" i="3"/>
  <c r="I197" i="3"/>
  <c r="I165" i="3"/>
  <c r="I198" i="3"/>
  <c r="I199" i="3"/>
  <c r="I200" i="3"/>
  <c r="I201" i="3"/>
  <c r="I102" i="3"/>
  <c r="I123" i="3"/>
  <c r="I103" i="3"/>
  <c r="I104" i="3"/>
  <c r="I77" i="3"/>
  <c r="I105" i="3"/>
  <c r="I78" i="3"/>
  <c r="I79" i="3"/>
  <c r="I80" i="3"/>
  <c r="I108" i="3"/>
  <c r="I128" i="3"/>
  <c r="I109" i="3"/>
  <c r="I82" i="3"/>
  <c r="I129" i="3"/>
  <c r="I110" i="3"/>
  <c r="I83" i="3"/>
  <c r="I130" i="3"/>
  <c r="I111" i="3"/>
  <c r="I84" i="3"/>
  <c r="I124" i="3"/>
  <c r="I101" i="3"/>
  <c r="I112" i="3"/>
  <c r="I85" i="3"/>
  <c r="I86" i="3"/>
  <c r="I90" i="3"/>
  <c r="I114" i="3"/>
  <c r="I87" i="3"/>
  <c r="I100" i="3"/>
  <c r="I125" i="3"/>
  <c r="I115" i="3"/>
  <c r="I92" i="3"/>
  <c r="I116" i="3"/>
  <c r="I93" i="3"/>
  <c r="I117" i="3"/>
  <c r="I94" i="3"/>
  <c r="I118" i="3"/>
  <c r="I95" i="3"/>
  <c r="I119" i="3"/>
  <c r="I96" i="3"/>
  <c r="I120" i="3"/>
  <c r="I97" i="3"/>
  <c r="I121" i="3"/>
  <c r="I98" i="3"/>
  <c r="I122" i="3"/>
  <c r="I99" i="3"/>
  <c r="I76" i="3"/>
  <c r="I126" i="3"/>
  <c r="I81" i="3"/>
  <c r="I89" i="3"/>
  <c r="I127" i="3"/>
  <c r="I91" i="3"/>
  <c r="I113" i="3"/>
  <c r="I75" i="3"/>
  <c r="I107" i="3"/>
  <c r="I88" i="3"/>
  <c r="I10" i="3"/>
  <c r="I106" i="3"/>
  <c r="J5" i="1"/>
  <c r="R5" i="1" s="1"/>
  <c r="M142" i="2"/>
  <c r="M125" i="2"/>
  <c r="K85" i="2" l="1"/>
  <c r="K84" i="2"/>
  <c r="U7" i="1"/>
  <c r="K69" i="2"/>
  <c r="K71" i="2"/>
  <c r="K78" i="2"/>
  <c r="K73" i="2"/>
  <c r="K77" i="2"/>
  <c r="K70" i="2"/>
  <c r="K126" i="2"/>
  <c r="J9" i="1"/>
  <c r="R9" i="1" s="1"/>
  <c r="K79" i="2"/>
  <c r="K61" i="2"/>
  <c r="J6" i="1"/>
  <c r="R6" i="1" s="1"/>
  <c r="K72" i="2"/>
  <c r="K74" i="2"/>
  <c r="K80" i="2"/>
  <c r="K81" i="2"/>
  <c r="K83" i="2"/>
  <c r="U5" i="1"/>
  <c r="K76" i="2"/>
  <c r="K82" i="2"/>
  <c r="K68" i="2"/>
  <c r="U10" i="1"/>
  <c r="AD31" i="1"/>
  <c r="U23" i="1"/>
  <c r="Z23" i="1" s="1"/>
  <c r="U18" i="1"/>
  <c r="G61" i="6"/>
  <c r="G63" i="6" s="1"/>
  <c r="J27" i="1"/>
  <c r="R27" i="1" s="1"/>
  <c r="I106" i="5"/>
  <c r="I107" i="5"/>
  <c r="G139" i="5"/>
  <c r="I108" i="5"/>
  <c r="I109" i="5"/>
  <c r="I123" i="5"/>
  <c r="I110" i="5"/>
  <c r="I102" i="5"/>
  <c r="I111" i="5"/>
  <c r="I96" i="5"/>
  <c r="I112" i="5"/>
  <c r="I113" i="5"/>
  <c r="I114" i="5"/>
  <c r="I115" i="5"/>
  <c r="I116" i="5"/>
  <c r="I124" i="5"/>
  <c r="I117" i="5"/>
  <c r="I118" i="5"/>
  <c r="I119" i="5"/>
  <c r="I121" i="5"/>
  <c r="I105" i="5"/>
  <c r="I122" i="5"/>
  <c r="I101" i="5"/>
  <c r="I128" i="5"/>
  <c r="I104" i="5"/>
  <c r="I125" i="5"/>
  <c r="I97" i="5"/>
  <c r="I130" i="5"/>
  <c r="I98" i="5"/>
  <c r="I127" i="5"/>
  <c r="I99" i="5"/>
  <c r="I100" i="5"/>
  <c r="I120" i="5"/>
  <c r="I129" i="5"/>
  <c r="I95" i="5"/>
  <c r="S25" i="1"/>
  <c r="I103" i="5"/>
  <c r="AA23" i="1"/>
  <c r="X23" i="1"/>
  <c r="W23" i="1"/>
  <c r="J24" i="1"/>
  <c r="R24" i="1" s="1"/>
  <c r="I62" i="5"/>
  <c r="I86" i="5"/>
  <c r="I63" i="5"/>
  <c r="I87" i="5"/>
  <c r="I64" i="5"/>
  <c r="I47" i="5"/>
  <c r="I60" i="5"/>
  <c r="I65" i="5"/>
  <c r="I35" i="5"/>
  <c r="I66" i="5"/>
  <c r="I36" i="5"/>
  <c r="I67" i="5"/>
  <c r="I37" i="5"/>
  <c r="I84" i="5"/>
  <c r="I90" i="5"/>
  <c r="I68" i="5"/>
  <c r="I38" i="5"/>
  <c r="I91" i="5"/>
  <c r="I69" i="5"/>
  <c r="I39" i="5"/>
  <c r="I92" i="5"/>
  <c r="I70" i="5"/>
  <c r="I40" i="5"/>
  <c r="I89" i="5"/>
  <c r="I71" i="5"/>
  <c r="I41" i="5"/>
  <c r="I48" i="5"/>
  <c r="I72" i="5"/>
  <c r="I42" i="5"/>
  <c r="I49" i="5"/>
  <c r="I73" i="5"/>
  <c r="I43" i="5"/>
  <c r="I50" i="5"/>
  <c r="I74" i="5"/>
  <c r="I44" i="5"/>
  <c r="I51" i="5"/>
  <c r="I75" i="5"/>
  <c r="I45" i="5"/>
  <c r="I52" i="5"/>
  <c r="I76" i="5"/>
  <c r="I34" i="5"/>
  <c r="I53" i="5"/>
  <c r="I77" i="5"/>
  <c r="I88" i="5"/>
  <c r="I54" i="5"/>
  <c r="I78" i="5"/>
  <c r="I85" i="5"/>
  <c r="I55" i="5"/>
  <c r="I79" i="5"/>
  <c r="I33" i="5"/>
  <c r="I56" i="5"/>
  <c r="I80" i="5"/>
  <c r="I57" i="5"/>
  <c r="I81" i="5"/>
  <c r="I61" i="5"/>
  <c r="I58" i="5"/>
  <c r="I82" i="5"/>
  <c r="I59" i="5"/>
  <c r="I83" i="5"/>
  <c r="I68" i="4"/>
  <c r="I67" i="4"/>
  <c r="I66" i="4"/>
  <c r="I85" i="4"/>
  <c r="I84" i="4"/>
  <c r="I83" i="4"/>
  <c r="I74" i="4"/>
  <c r="I81" i="4"/>
  <c r="I80" i="4"/>
  <c r="I82" i="4"/>
  <c r="U20" i="1"/>
  <c r="I87" i="4"/>
  <c r="J19" i="1"/>
  <c r="I66" i="14"/>
  <c r="I67" i="14"/>
  <c r="I63" i="14"/>
  <c r="I68" i="14"/>
  <c r="I45" i="14"/>
  <c r="I47" i="14"/>
  <c r="I77" i="14"/>
  <c r="I69" i="14"/>
  <c r="I49" i="14"/>
  <c r="I70" i="14"/>
  <c r="I78" i="14"/>
  <c r="I71" i="14"/>
  <c r="I65" i="14"/>
  <c r="I50" i="14"/>
  <c r="I72" i="14"/>
  <c r="I79" i="14"/>
  <c r="I73" i="14"/>
  <c r="I51" i="14"/>
  <c r="I74" i="14"/>
  <c r="I76" i="14"/>
  <c r="I58" i="14"/>
  <c r="I52" i="14"/>
  <c r="I46" i="14"/>
  <c r="I64" i="14"/>
  <c r="I59" i="14"/>
  <c r="I57" i="14"/>
  <c r="I53" i="14"/>
  <c r="I75" i="14"/>
  <c r="I54" i="14"/>
  <c r="I61" i="14"/>
  <c r="I60" i="14"/>
  <c r="I55" i="14"/>
  <c r="I48" i="14"/>
  <c r="I62" i="14"/>
  <c r="I56" i="14"/>
  <c r="I44" i="14"/>
  <c r="G166" i="14"/>
  <c r="I156" i="14"/>
  <c r="I162" i="14"/>
  <c r="I138" i="14"/>
  <c r="I163" i="14"/>
  <c r="I131" i="14"/>
  <c r="I164" i="14"/>
  <c r="I132" i="14"/>
  <c r="I161" i="14"/>
  <c r="I133" i="14"/>
  <c r="I159" i="14"/>
  <c r="I158" i="14"/>
  <c r="I135" i="14"/>
  <c r="I139" i="14"/>
  <c r="I136" i="14"/>
  <c r="I130" i="14"/>
  <c r="I141" i="14"/>
  <c r="I118" i="14"/>
  <c r="I142" i="14"/>
  <c r="I119" i="14"/>
  <c r="I137" i="14"/>
  <c r="I143" i="14"/>
  <c r="I120" i="14"/>
  <c r="I157" i="14"/>
  <c r="I144" i="14"/>
  <c r="I121" i="14"/>
  <c r="I145" i="14"/>
  <c r="I122" i="14"/>
  <c r="I146" i="14"/>
  <c r="I123" i="14"/>
  <c r="I147" i="14"/>
  <c r="I124" i="14"/>
  <c r="I148" i="14"/>
  <c r="I125" i="14"/>
  <c r="I149" i="14"/>
  <c r="I126" i="14"/>
  <c r="I150" i="14"/>
  <c r="I127" i="14"/>
  <c r="I151" i="14"/>
  <c r="I128" i="14"/>
  <c r="I152" i="14"/>
  <c r="I117" i="14"/>
  <c r="I153" i="14"/>
  <c r="I154" i="14"/>
  <c r="I155" i="14"/>
  <c r="I116" i="14"/>
  <c r="I134" i="14"/>
  <c r="I140" i="14"/>
  <c r="I160" i="14"/>
  <c r="I129" i="14"/>
  <c r="I90" i="14"/>
  <c r="I113" i="14"/>
  <c r="I91" i="14"/>
  <c r="I112" i="14"/>
  <c r="I92" i="14"/>
  <c r="I97" i="14"/>
  <c r="I93" i="14"/>
  <c r="I98" i="14"/>
  <c r="I94" i="14"/>
  <c r="I99" i="14"/>
  <c r="I100" i="14"/>
  <c r="I101" i="14"/>
  <c r="I102" i="14"/>
  <c r="I103" i="14"/>
  <c r="I104" i="14"/>
  <c r="I87" i="14"/>
  <c r="I89" i="14"/>
  <c r="I105" i="14"/>
  <c r="I106" i="14"/>
  <c r="I107" i="14"/>
  <c r="I108" i="14"/>
  <c r="I109" i="14"/>
  <c r="I110" i="14"/>
  <c r="I96" i="14"/>
  <c r="I84" i="14"/>
  <c r="I85" i="14"/>
  <c r="I86" i="14"/>
  <c r="I88" i="14"/>
  <c r="I83" i="14"/>
  <c r="I95" i="14"/>
  <c r="I111" i="14"/>
  <c r="I82" i="14"/>
  <c r="I229" i="12"/>
  <c r="I212" i="12"/>
  <c r="I230" i="12"/>
  <c r="I213" i="12"/>
  <c r="I231" i="12"/>
  <c r="I214" i="12"/>
  <c r="I232" i="12"/>
  <c r="I215" i="12"/>
  <c r="I233" i="12"/>
  <c r="I234" i="12"/>
  <c r="I235" i="12"/>
  <c r="I236" i="12"/>
  <c r="I226" i="12"/>
  <c r="G254" i="12"/>
  <c r="I237" i="12"/>
  <c r="I211" i="12"/>
  <c r="I209" i="12"/>
  <c r="I248" i="12"/>
  <c r="I239" i="12"/>
  <c r="I249" i="12"/>
  <c r="I240" i="12"/>
  <c r="I250" i="12"/>
  <c r="I222" i="12"/>
  <c r="I247" i="12"/>
  <c r="I218" i="12"/>
  <c r="I243" i="12"/>
  <c r="I219" i="12"/>
  <c r="I244" i="12"/>
  <c r="I220" i="12"/>
  <c r="I245" i="12"/>
  <c r="I217" i="12"/>
  <c r="I242" i="12"/>
  <c r="I205" i="12"/>
  <c r="I223" i="12"/>
  <c r="I206" i="12"/>
  <c r="I224" i="12"/>
  <c r="I207" i="12"/>
  <c r="I225" i="12"/>
  <c r="I208" i="12"/>
  <c r="I227" i="12"/>
  <c r="I210" i="12"/>
  <c r="I228" i="12"/>
  <c r="I246" i="12"/>
  <c r="I238" i="12"/>
  <c r="I216" i="12"/>
  <c r="I221" i="12"/>
  <c r="I241" i="12"/>
  <c r="I204" i="12"/>
  <c r="I203" i="12"/>
  <c r="I195" i="12"/>
  <c r="I194" i="12"/>
  <c r="I189" i="12"/>
  <c r="I190" i="12"/>
  <c r="I191" i="12"/>
  <c r="I192" i="12"/>
  <c r="I197" i="12"/>
  <c r="I198" i="12"/>
  <c r="I199" i="12"/>
  <c r="I200" i="12"/>
  <c r="I188" i="12"/>
  <c r="I193" i="12"/>
  <c r="I196" i="12"/>
  <c r="I187" i="12"/>
  <c r="G253" i="12"/>
  <c r="L5" i="12" s="1"/>
  <c r="I112" i="12"/>
  <c r="I91" i="12"/>
  <c r="I113" i="12"/>
  <c r="I114" i="12"/>
  <c r="I111" i="12"/>
  <c r="I110" i="12"/>
  <c r="I94" i="12"/>
  <c r="I96" i="12"/>
  <c r="I97" i="12"/>
  <c r="I98" i="12"/>
  <c r="I99" i="12"/>
  <c r="I100" i="12"/>
  <c r="I101" i="12"/>
  <c r="I102" i="12"/>
  <c r="I103" i="12"/>
  <c r="I104" i="12"/>
  <c r="I105" i="12"/>
  <c r="I106" i="12"/>
  <c r="I107" i="12"/>
  <c r="I108" i="12"/>
  <c r="I109" i="12"/>
  <c r="I93" i="12"/>
  <c r="I88" i="12"/>
  <c r="I89" i="12"/>
  <c r="I90" i="12"/>
  <c r="I87" i="12"/>
  <c r="I95" i="12"/>
  <c r="I92" i="12"/>
  <c r="I86" i="12"/>
  <c r="I57" i="12"/>
  <c r="I78" i="12"/>
  <c r="I77" i="12"/>
  <c r="I58" i="12"/>
  <c r="I59" i="12"/>
  <c r="I60" i="12"/>
  <c r="I81" i="12"/>
  <c r="I82" i="12"/>
  <c r="I83" i="12"/>
  <c r="I80" i="12"/>
  <c r="I63" i="12"/>
  <c r="I65" i="12"/>
  <c r="I66" i="12"/>
  <c r="I67" i="12"/>
  <c r="I68" i="12"/>
  <c r="I69" i="12"/>
  <c r="I70" i="12"/>
  <c r="I71" i="12"/>
  <c r="I72" i="12"/>
  <c r="I73" i="12"/>
  <c r="I74" i="12"/>
  <c r="I75" i="12"/>
  <c r="I76" i="12"/>
  <c r="I62" i="12"/>
  <c r="I56" i="12"/>
  <c r="I64" i="12"/>
  <c r="I61" i="12"/>
  <c r="I79" i="12"/>
  <c r="I55" i="12"/>
  <c r="I50" i="12"/>
  <c r="I27" i="12"/>
  <c r="I51" i="12"/>
  <c r="I22" i="12"/>
  <c r="I52" i="12"/>
  <c r="I23" i="12"/>
  <c r="I47" i="12"/>
  <c r="I49" i="12"/>
  <c r="I24" i="12"/>
  <c r="I28" i="12"/>
  <c r="I25" i="12"/>
  <c r="I30" i="12"/>
  <c r="I46" i="12"/>
  <c r="I31" i="12"/>
  <c r="I48" i="12"/>
  <c r="I32" i="12"/>
  <c r="I33" i="12"/>
  <c r="I34" i="12"/>
  <c r="I35" i="12"/>
  <c r="I36" i="12"/>
  <c r="I37" i="12"/>
  <c r="I38" i="12"/>
  <c r="I39" i="12"/>
  <c r="I40" i="12"/>
  <c r="I41" i="12"/>
  <c r="I42" i="12"/>
  <c r="I43" i="12"/>
  <c r="I44" i="12"/>
  <c r="I45" i="12"/>
  <c r="I29" i="12"/>
  <c r="I21" i="12"/>
  <c r="I20" i="12"/>
  <c r="I26" i="12"/>
  <c r="I17" i="12"/>
  <c r="I14" i="12"/>
  <c r="I8" i="12"/>
  <c r="I9" i="12"/>
  <c r="I10" i="12"/>
  <c r="I11" i="12"/>
  <c r="I7" i="12"/>
  <c r="I13" i="12"/>
  <c r="I16" i="12"/>
  <c r="I6" i="12"/>
  <c r="I12" i="12"/>
  <c r="I15" i="12"/>
  <c r="I19" i="11"/>
  <c r="I14" i="11"/>
  <c r="I15" i="11"/>
  <c r="I16" i="11"/>
  <c r="I13" i="11"/>
  <c r="I8" i="11"/>
  <c r="I9" i="11"/>
  <c r="I10" i="11"/>
  <c r="I11" i="11"/>
  <c r="I7" i="11"/>
  <c r="I18" i="11"/>
  <c r="I12" i="11"/>
  <c r="I6" i="11"/>
  <c r="I12" i="10"/>
  <c r="I80" i="10"/>
  <c r="I83" i="10"/>
  <c r="I55" i="10"/>
  <c r="I85" i="10"/>
  <c r="I56" i="10"/>
  <c r="I57" i="10"/>
  <c r="I61" i="10"/>
  <c r="I58" i="10"/>
  <c r="I63" i="10"/>
  <c r="I64" i="10"/>
  <c r="I65" i="10"/>
  <c r="I66" i="10"/>
  <c r="I67" i="10"/>
  <c r="I68" i="10"/>
  <c r="I69" i="10"/>
  <c r="I78" i="10"/>
  <c r="I70" i="10"/>
  <c r="I71" i="10"/>
  <c r="I72" i="10"/>
  <c r="I73" i="10"/>
  <c r="I74" i="10"/>
  <c r="I75" i="10"/>
  <c r="I79" i="10"/>
  <c r="I76" i="10"/>
  <c r="I77" i="10"/>
  <c r="I84" i="10"/>
  <c r="I54" i="10"/>
  <c r="I62" i="10"/>
  <c r="I82" i="10"/>
  <c r="I60" i="10"/>
  <c r="I53" i="10"/>
  <c r="I59" i="10"/>
  <c r="I81" i="10"/>
  <c r="I8" i="10"/>
  <c r="I9" i="10"/>
  <c r="I11" i="10"/>
  <c r="I10" i="10"/>
  <c r="I30" i="10"/>
  <c r="I14" i="10"/>
  <c r="I15" i="10"/>
  <c r="I16" i="10"/>
  <c r="I17" i="10"/>
  <c r="I18" i="10"/>
  <c r="I19" i="10"/>
  <c r="I20" i="10"/>
  <c r="I21" i="10"/>
  <c r="I22" i="10"/>
  <c r="I23" i="10"/>
  <c r="I24" i="10"/>
  <c r="I27" i="10"/>
  <c r="I25" i="10"/>
  <c r="I26" i="10"/>
  <c r="I7" i="10"/>
  <c r="I13" i="10"/>
  <c r="I29" i="10"/>
  <c r="I6" i="10"/>
  <c r="I28" i="10"/>
  <c r="L5" i="9"/>
  <c r="L57" i="9"/>
  <c r="L41" i="9"/>
  <c r="L73" i="9"/>
  <c r="I133" i="9"/>
  <c r="I102" i="9"/>
  <c r="I131" i="9"/>
  <c r="I104" i="9"/>
  <c r="I128" i="9"/>
  <c r="I105" i="9"/>
  <c r="I109" i="9"/>
  <c r="I96" i="9"/>
  <c r="I110" i="9"/>
  <c r="I97" i="9"/>
  <c r="I111" i="9"/>
  <c r="I98" i="9"/>
  <c r="I112" i="9"/>
  <c r="I99" i="9"/>
  <c r="I113" i="9"/>
  <c r="I114" i="9"/>
  <c r="I115" i="9"/>
  <c r="I116" i="9"/>
  <c r="I117" i="9"/>
  <c r="I118" i="9"/>
  <c r="I119" i="9"/>
  <c r="G136" i="9"/>
  <c r="G137" i="9" s="1"/>
  <c r="I120" i="9"/>
  <c r="I121" i="9"/>
  <c r="I122" i="9"/>
  <c r="I123" i="9"/>
  <c r="I124" i="9"/>
  <c r="I125" i="9"/>
  <c r="I108" i="9"/>
  <c r="I94" i="9"/>
  <c r="I127" i="9"/>
  <c r="I100" i="9"/>
  <c r="I95" i="9"/>
  <c r="I101" i="9"/>
  <c r="I103" i="9"/>
  <c r="I130" i="9"/>
  <c r="I107" i="9"/>
  <c r="I132" i="9"/>
  <c r="I106" i="9"/>
  <c r="I57" i="8"/>
  <c r="I29" i="8"/>
  <c r="I30" i="8"/>
  <c r="I31" i="8"/>
  <c r="I32" i="8"/>
  <c r="I33" i="8"/>
  <c r="I34" i="8"/>
  <c r="I35" i="8"/>
  <c r="I36" i="8"/>
  <c r="I37" i="8"/>
  <c r="I25" i="8"/>
  <c r="I38" i="8"/>
  <c r="I45" i="8"/>
  <c r="I39" i="8"/>
  <c r="I17" i="8"/>
  <c r="I40" i="8"/>
  <c r="I26" i="8"/>
  <c r="I19" i="8"/>
  <c r="I20" i="8"/>
  <c r="I21" i="8"/>
  <c r="I43" i="8"/>
  <c r="I22" i="8"/>
  <c r="I18" i="8"/>
  <c r="I27" i="8"/>
  <c r="I28" i="8"/>
  <c r="I24" i="8"/>
  <c r="I42" i="8"/>
  <c r="I44" i="8"/>
  <c r="I41" i="8"/>
  <c r="I59" i="8"/>
  <c r="I56" i="8"/>
  <c r="I50" i="8"/>
  <c r="I51" i="8"/>
  <c r="I52" i="8"/>
  <c r="I53" i="8"/>
  <c r="I48" i="8"/>
  <c r="I55" i="8"/>
  <c r="I49" i="8"/>
  <c r="I58" i="8"/>
  <c r="G62" i="8"/>
  <c r="I17" i="7"/>
  <c r="I13" i="7"/>
  <c r="I14" i="7"/>
  <c r="I16" i="7"/>
  <c r="I37" i="7"/>
  <c r="I15" i="7"/>
  <c r="I18" i="7"/>
  <c r="I21" i="7"/>
  <c r="I22" i="7"/>
  <c r="I23" i="7"/>
  <c r="I24" i="7"/>
  <c r="I25" i="7"/>
  <c r="I10" i="7"/>
  <c r="I26" i="7"/>
  <c r="I27" i="7"/>
  <c r="G52" i="7"/>
  <c r="I28" i="7"/>
  <c r="I29" i="7"/>
  <c r="I30" i="7"/>
  <c r="I31" i="7"/>
  <c r="I32" i="7"/>
  <c r="I33" i="7"/>
  <c r="I34" i="7"/>
  <c r="I11" i="7"/>
  <c r="I8" i="7"/>
  <c r="I9" i="7"/>
  <c r="I19" i="7"/>
  <c r="I20" i="7"/>
  <c r="I36" i="7"/>
  <c r="I12" i="7"/>
  <c r="I7" i="7"/>
  <c r="I6" i="7"/>
  <c r="I35" i="7"/>
  <c r="G138" i="5"/>
  <c r="I27" i="5"/>
  <c r="I25" i="5"/>
  <c r="I8" i="5"/>
  <c r="I23" i="5"/>
  <c r="I9" i="5"/>
  <c r="I10" i="5"/>
  <c r="I11" i="5"/>
  <c r="I30" i="5"/>
  <c r="I24" i="5"/>
  <c r="I14" i="5"/>
  <c r="I15" i="5"/>
  <c r="I16" i="5"/>
  <c r="I17" i="5"/>
  <c r="I18" i="5"/>
  <c r="I19" i="5"/>
  <c r="I20" i="5"/>
  <c r="I26" i="5"/>
  <c r="I21" i="5"/>
  <c r="I22" i="5"/>
  <c r="I7" i="5"/>
  <c r="I13" i="5"/>
  <c r="I29" i="5"/>
  <c r="I6" i="5"/>
  <c r="I12" i="5"/>
  <c r="I28" i="5"/>
  <c r="I77" i="4"/>
  <c r="I78" i="4"/>
  <c r="G149" i="4"/>
  <c r="L63" i="4" s="1"/>
  <c r="I86" i="4"/>
  <c r="I89" i="4"/>
  <c r="I64" i="4"/>
  <c r="I70" i="4"/>
  <c r="I73" i="4"/>
  <c r="I72" i="4"/>
  <c r="I75" i="4"/>
  <c r="I90" i="4"/>
  <c r="I76" i="4"/>
  <c r="I65" i="4"/>
  <c r="I71" i="4"/>
  <c r="I69" i="4"/>
  <c r="I88" i="4"/>
  <c r="I98" i="4"/>
  <c r="I117" i="4"/>
  <c r="I101" i="4"/>
  <c r="I102" i="4"/>
  <c r="I96" i="4"/>
  <c r="I103" i="4"/>
  <c r="I104" i="4"/>
  <c r="I105" i="4"/>
  <c r="I106" i="4"/>
  <c r="I107" i="4"/>
  <c r="I108" i="4"/>
  <c r="I109" i="4"/>
  <c r="I110" i="4"/>
  <c r="I111" i="4"/>
  <c r="I100" i="4"/>
  <c r="I97" i="4"/>
  <c r="I112" i="4"/>
  <c r="I113" i="4"/>
  <c r="I95" i="4"/>
  <c r="I114" i="4"/>
  <c r="I94" i="4"/>
  <c r="I99" i="4"/>
  <c r="I116" i="4"/>
  <c r="I93" i="4"/>
  <c r="I115" i="4"/>
  <c r="K43" i="2"/>
  <c r="I28" i="3"/>
  <c r="I7" i="3"/>
  <c r="I8" i="3"/>
  <c r="I12" i="3"/>
  <c r="I31" i="3"/>
  <c r="I13" i="3"/>
  <c r="I26" i="3"/>
  <c r="G211" i="3"/>
  <c r="G213" i="3" s="1"/>
  <c r="I9" i="3"/>
  <c r="I20" i="3"/>
  <c r="I15" i="3"/>
  <c r="I25" i="3"/>
  <c r="I30" i="3"/>
  <c r="I6" i="3"/>
  <c r="I18" i="3"/>
  <c r="I29" i="3"/>
  <c r="I33" i="3"/>
  <c r="I24" i="3"/>
  <c r="I19" i="3"/>
  <c r="I23" i="3"/>
  <c r="I21" i="3"/>
  <c r="I27" i="3"/>
  <c r="I17" i="3"/>
  <c r="I14" i="3"/>
  <c r="I11" i="3"/>
  <c r="I22" i="3"/>
  <c r="I16" i="3"/>
  <c r="I34" i="3"/>
  <c r="K133" i="2"/>
  <c r="K134" i="2"/>
  <c r="K135" i="2"/>
  <c r="K132" i="2"/>
  <c r="K138" i="2"/>
  <c r="K139" i="2"/>
  <c r="K140" i="2"/>
  <c r="K137" i="2"/>
  <c r="K128" i="2"/>
  <c r="K129" i="2"/>
  <c r="K130" i="2"/>
  <c r="K131" i="2"/>
  <c r="K127" i="2"/>
  <c r="I178" i="2"/>
  <c r="K162" i="2"/>
  <c r="K163" i="2"/>
  <c r="K164" i="2"/>
  <c r="K166" i="2"/>
  <c r="K167" i="2"/>
  <c r="K173" i="2"/>
  <c r="K145" i="2"/>
  <c r="K175" i="2"/>
  <c r="K147" i="2"/>
  <c r="K170" i="2"/>
  <c r="K150" i="2"/>
  <c r="K161" i="2"/>
  <c r="K152" i="2"/>
  <c r="K153" i="2"/>
  <c r="K154" i="2"/>
  <c r="K155" i="2"/>
  <c r="K156" i="2"/>
  <c r="K157" i="2"/>
  <c r="K158" i="2"/>
  <c r="K159" i="2"/>
  <c r="K160" i="2"/>
  <c r="K149" i="2"/>
  <c r="K169" i="2"/>
  <c r="K144" i="2"/>
  <c r="K146" i="2"/>
  <c r="K168" i="2"/>
  <c r="K174" i="2"/>
  <c r="K151" i="2"/>
  <c r="K172" i="2"/>
  <c r="K165" i="2"/>
  <c r="K29" i="2"/>
  <c r="K32" i="2"/>
  <c r="K34" i="2"/>
  <c r="K33" i="2"/>
  <c r="K31" i="2"/>
  <c r="K148" i="2"/>
  <c r="K171" i="2"/>
  <c r="K143" i="2"/>
  <c r="M87" i="2"/>
  <c r="K30" i="2"/>
  <c r="K136" i="2"/>
  <c r="K53" i="2"/>
  <c r="K54" i="2"/>
  <c r="K55" i="2"/>
  <c r="K56" i="2"/>
  <c r="K57" i="2"/>
  <c r="K58" i="2"/>
  <c r="K59" i="2"/>
  <c r="K60" i="2"/>
  <c r="K39" i="2"/>
  <c r="K40" i="2"/>
  <c r="K41" i="2"/>
  <c r="K63" i="2"/>
  <c r="K42" i="2"/>
  <c r="K65" i="2"/>
  <c r="K52" i="2"/>
  <c r="K45" i="2"/>
  <c r="K47" i="2"/>
  <c r="K48" i="2"/>
  <c r="K49" i="2"/>
  <c r="K50" i="2"/>
  <c r="K51" i="2"/>
  <c r="K38" i="2"/>
  <c r="K64" i="2"/>
  <c r="K37" i="2"/>
  <c r="K46" i="2"/>
  <c r="K44" i="2"/>
  <c r="K62" i="2"/>
  <c r="Y5" i="1" l="1"/>
  <c r="Z5" i="1"/>
  <c r="W5" i="1"/>
  <c r="X5" i="1"/>
  <c r="AA5" i="1"/>
  <c r="AA10" i="1"/>
  <c r="Y10" i="1"/>
  <c r="W10" i="1"/>
  <c r="X10" i="1"/>
  <c r="Z10" i="1"/>
  <c r="U6" i="1"/>
  <c r="U9" i="1"/>
  <c r="K94" i="2"/>
  <c r="J8" i="1"/>
  <c r="R8" i="1" s="1"/>
  <c r="AA7" i="1"/>
  <c r="Y7" i="1"/>
  <c r="W7" i="1"/>
  <c r="Z7" i="1"/>
  <c r="X7" i="1"/>
  <c r="AE31" i="1"/>
  <c r="AJ31" i="1"/>
  <c r="AL31" i="1" s="1"/>
  <c r="AG31" i="1"/>
  <c r="AN31" i="1"/>
  <c r="Y23" i="1"/>
  <c r="AC23" i="1" s="1"/>
  <c r="AI23" i="1" s="1"/>
  <c r="AL23" i="1" s="1"/>
  <c r="U25" i="1"/>
  <c r="S74" i="1"/>
  <c r="R19" i="1"/>
  <c r="U19" i="1" s="1"/>
  <c r="AA18" i="1"/>
  <c r="Z18" i="1"/>
  <c r="Y18" i="1"/>
  <c r="X18" i="1"/>
  <c r="W18" i="1"/>
  <c r="AC18" i="1" s="1"/>
  <c r="AI18" i="1" s="1"/>
  <c r="AL18" i="1" s="1"/>
  <c r="L5" i="11"/>
  <c r="L71" i="11"/>
  <c r="U27" i="1"/>
  <c r="W25" i="1"/>
  <c r="AA25" i="1"/>
  <c r="Z25" i="1"/>
  <c r="Y25" i="1"/>
  <c r="X25" i="1"/>
  <c r="U24" i="1"/>
  <c r="L5" i="4"/>
  <c r="G151" i="4"/>
  <c r="L92" i="4"/>
  <c r="W20" i="1"/>
  <c r="X20" i="1"/>
  <c r="Y20" i="1"/>
  <c r="Z20" i="1"/>
  <c r="AA20" i="1"/>
  <c r="G168" i="14"/>
  <c r="L5" i="14"/>
  <c r="L43" i="14"/>
  <c r="L81" i="14"/>
  <c r="G255" i="12"/>
  <c r="L116" i="12"/>
  <c r="L157" i="12"/>
  <c r="L143" i="12"/>
  <c r="L186" i="12"/>
  <c r="L85" i="12"/>
  <c r="L54" i="12"/>
  <c r="L19" i="12"/>
  <c r="G135" i="11"/>
  <c r="L37" i="11"/>
  <c r="L21" i="11"/>
  <c r="L53" i="11"/>
  <c r="G90" i="10"/>
  <c r="L32" i="10"/>
  <c r="L5" i="10"/>
  <c r="L52" i="10"/>
  <c r="G64" i="8"/>
  <c r="L5" i="8"/>
  <c r="L47" i="8"/>
  <c r="L16" i="8"/>
  <c r="G54" i="7"/>
  <c r="G140" i="5"/>
  <c r="L32" i="5"/>
  <c r="L5" i="5"/>
  <c r="L132" i="3"/>
  <c r="L36" i="3"/>
  <c r="L74" i="3"/>
  <c r="L5" i="3"/>
  <c r="K110" i="2"/>
  <c r="K111" i="2"/>
  <c r="K109" i="2"/>
  <c r="K112" i="2"/>
  <c r="K113" i="2"/>
  <c r="K114" i="2"/>
  <c r="K115" i="2"/>
  <c r="K121" i="2"/>
  <c r="K116" i="2"/>
  <c r="K117" i="2"/>
  <c r="K123" i="2"/>
  <c r="K118" i="2"/>
  <c r="K96" i="2"/>
  <c r="K90" i="2"/>
  <c r="K97" i="2"/>
  <c r="K91" i="2"/>
  <c r="K98" i="2"/>
  <c r="K92" i="2"/>
  <c r="K93" i="2"/>
  <c r="K89" i="2"/>
  <c r="K101" i="2"/>
  <c r="K102" i="2"/>
  <c r="K103" i="2"/>
  <c r="K88" i="2"/>
  <c r="K104" i="2"/>
  <c r="K105" i="2"/>
  <c r="K107" i="2"/>
  <c r="K108" i="2"/>
  <c r="K95" i="2"/>
  <c r="K122" i="2"/>
  <c r="K120" i="2"/>
  <c r="K106" i="2"/>
  <c r="K100" i="2"/>
  <c r="K99" i="2"/>
  <c r="K119" i="2"/>
  <c r="I177" i="2"/>
  <c r="U8" i="1" l="1"/>
  <c r="AC7" i="1"/>
  <c r="AD10" i="1"/>
  <c r="AA6" i="1"/>
  <c r="W6" i="1"/>
  <c r="X6" i="1"/>
  <c r="Y6" i="1"/>
  <c r="Z6" i="1"/>
  <c r="W9" i="1"/>
  <c r="X9" i="1"/>
  <c r="AA9" i="1"/>
  <c r="Y9" i="1"/>
  <c r="Z9" i="1"/>
  <c r="J74" i="1"/>
  <c r="AC5" i="1"/>
  <c r="U74" i="1"/>
  <c r="AD25" i="1"/>
  <c r="AJ25" i="1" s="1"/>
  <c r="AL25" i="1" s="1"/>
  <c r="AD74" i="1"/>
  <c r="AE23" i="1"/>
  <c r="AG23" i="1" s="1"/>
  <c r="AN23" i="1" s="1"/>
  <c r="AE18" i="1"/>
  <c r="AC20" i="1"/>
  <c r="AI20" i="1" s="1"/>
  <c r="AL20" i="1" s="1"/>
  <c r="R74" i="1"/>
  <c r="W27" i="1"/>
  <c r="X27" i="1"/>
  <c r="Y27" i="1"/>
  <c r="Z27" i="1"/>
  <c r="AA27" i="1"/>
  <c r="W24" i="1"/>
  <c r="X24" i="1"/>
  <c r="Y24" i="1"/>
  <c r="Z24" i="1"/>
  <c r="AA24" i="1"/>
  <c r="W19" i="1"/>
  <c r="AA19" i="1"/>
  <c r="Z19" i="1"/>
  <c r="Y19" i="1"/>
  <c r="X19" i="1"/>
  <c r="N36" i="2"/>
  <c r="N67" i="2"/>
  <c r="N125" i="2"/>
  <c r="I179" i="2"/>
  <c r="N87" i="2"/>
  <c r="AI5" i="1" l="1"/>
  <c r="AL5" i="1" s="1"/>
  <c r="AE5" i="1"/>
  <c r="AG5" i="1" s="1"/>
  <c r="AN5" i="1" s="1"/>
  <c r="AI7" i="1"/>
  <c r="AL7" i="1" s="1"/>
  <c r="AN7" i="1" s="1"/>
  <c r="AE7" i="1"/>
  <c r="AG7" i="1" s="1"/>
  <c r="AC9" i="1"/>
  <c r="AC6" i="1"/>
  <c r="AJ10" i="1"/>
  <c r="AL10" i="1" s="1"/>
  <c r="AE10" i="1"/>
  <c r="AG10" i="1" s="1"/>
  <c r="AN10" i="1" s="1"/>
  <c r="X8" i="1"/>
  <c r="W8" i="1"/>
  <c r="Z8" i="1"/>
  <c r="AA8" i="1"/>
  <c r="Y8" i="1"/>
  <c r="AE25" i="1"/>
  <c r="AC19" i="1"/>
  <c r="AI19" i="1" s="1"/>
  <c r="AL19" i="1" s="1"/>
  <c r="AE20" i="1"/>
  <c r="AG20" i="1" s="1"/>
  <c r="AG18" i="1"/>
  <c r="AN18" i="1" s="1"/>
  <c r="AC24" i="1"/>
  <c r="AI24" i="1" s="1"/>
  <c r="AL24" i="1" s="1"/>
  <c r="AC27" i="1"/>
  <c r="AI27" i="1" s="1"/>
  <c r="AL27" i="1" s="1"/>
  <c r="AN20" i="1"/>
  <c r="AI9" i="1" l="1"/>
  <c r="AL9" i="1" s="1"/>
  <c r="AE9" i="1"/>
  <c r="AG9" i="1" s="1"/>
  <c r="AN9" i="1" s="1"/>
  <c r="AC8" i="1"/>
  <c r="AI6" i="1"/>
  <c r="AL6" i="1" s="1"/>
  <c r="AE6" i="1"/>
  <c r="AG6" i="1" s="1"/>
  <c r="AN6" i="1" s="1"/>
  <c r="AE19" i="1"/>
  <c r="AG25" i="1"/>
  <c r="AN25" i="1"/>
  <c r="AE24" i="1"/>
  <c r="AE27" i="1"/>
  <c r="AG27" i="1" s="1"/>
  <c r="AN27" i="1" s="1"/>
  <c r="AC74" i="1"/>
  <c r="AE8" i="1" l="1"/>
  <c r="AG8" i="1" s="1"/>
  <c r="AI8" i="1"/>
  <c r="AL8" i="1" s="1"/>
  <c r="AN8" i="1" s="1"/>
  <c r="AG19" i="1"/>
  <c r="AI74" i="1"/>
  <c r="AJ74" i="1"/>
  <c r="AG24" i="1"/>
  <c r="AN24" i="1" s="1"/>
  <c r="AE74" i="1"/>
  <c r="AN19" i="1"/>
  <c r="AL74" i="1"/>
  <c r="AN74" i="1" s="1"/>
</calcChain>
</file>

<file path=xl/sharedStrings.xml><?xml version="1.0" encoding="utf-8"?>
<sst xmlns="http://schemas.openxmlformats.org/spreadsheetml/2006/main" count="4530" uniqueCount="821">
  <si>
    <t>Volume</t>
  </si>
  <si>
    <t>Bairro</t>
  </si>
  <si>
    <t>Alto</t>
  </si>
  <si>
    <t>Número de Domicílios</t>
  </si>
  <si>
    <t>PMRR DE ILHÉUS</t>
  </si>
  <si>
    <t>Empreendimento: 000058 - Alto do Carvalho (Bairro Esperança)</t>
  </si>
  <si>
    <t>ITEM</t>
  </si>
  <si>
    <t>DESCRIÇÃO DO ITEM</t>
  </si>
  <si>
    <t>UNID</t>
  </si>
  <si>
    <t>QUANT</t>
  </si>
  <si>
    <t>PREÇO UNIT</t>
  </si>
  <si>
    <t>VALOR TOTAL</t>
  </si>
  <si>
    <t>(%)</t>
  </si>
  <si>
    <t>Setor de Risco A1S1R3 (Contenções e Demolições)</t>
  </si>
  <si>
    <t>01.01 </t>
  </si>
  <si>
    <t>SERVIÇOS PRELIMINARES</t>
  </si>
  <si>
    <t>01.01.001 </t>
  </si>
  <si>
    <t>LIMPEZA DE TERRENO</t>
  </si>
  <si>
    <t>01.01.001.001 </t>
  </si>
  <si>
    <t>Limpeza manual de terreno com vegetação rasteira, incluindo roçagem e queima</t>
  </si>
  <si>
    <t>m2</t>
  </si>
  <si>
    <t>01.01.001.002 </t>
  </si>
  <si>
    <t>Destocamento de árvores de porte médio e raízes profundas, sem auxílio mecânico</t>
  </si>
  <si>
    <t>un</t>
  </si>
  <si>
    <t>01.01.001.003 </t>
  </si>
  <si>
    <t>Coleta e carga manuais de entulho</t>
  </si>
  <si>
    <t>m3</t>
  </si>
  <si>
    <t>01.01.001.004 </t>
  </si>
  <si>
    <t>Transporte com caminhão basculante de 6 m³, em via urbana em revestimento primário (unidade: txkm). af_07/2020</t>
  </si>
  <si>
    <t>txkm</t>
  </si>
  <si>
    <t>01.02 </t>
  </si>
  <si>
    <t>ESTRUTURAS DE CONTENÇÃO</t>
  </si>
  <si>
    <t>01.02.001 </t>
  </si>
  <si>
    <t>SOLO GRAMPEADO</t>
  </si>
  <si>
    <t>01.02.001.001 </t>
  </si>
  <si>
    <t>Solo Grampeado para controlede erosão com malha hexagonal de dupla torção, revestimento em PVC e com resistência de puncionamento de 105 KN e resistência à tração de 89 KN/m. Associada a geomanta tridimensional verde.</t>
  </si>
  <si>
    <t>01.02.002 </t>
  </si>
  <si>
    <t>MURO DE ARRIMO</t>
  </si>
  <si>
    <t>01.02.002.001 </t>
  </si>
  <si>
    <t>Concretagem de pilares, fck = 25 mpa, com uso de bomba - lançamento, adensamento e acabamento. af_02/2022_ps</t>
  </si>
  <si>
    <t>01.02.002.002 </t>
  </si>
  <si>
    <t>Armação de cinta de alvenaria estrutural; diâmetro de 16,0 mm. af_09/2021</t>
  </si>
  <si>
    <t>kg</t>
  </si>
  <si>
    <t>01.02.002.003 </t>
  </si>
  <si>
    <t>Armação de verga e contraverga de alvenaria estrutural; diâmetro de 16,0 mm. af_09/2021</t>
  </si>
  <si>
    <t>01.02.002.004 </t>
  </si>
  <si>
    <t>Armação vertical de alvenaria estrutural; diâmetro de 16,0 mm. af_09/2021</t>
  </si>
  <si>
    <t>01.02.002.005 </t>
  </si>
  <si>
    <t>Reaterro manual de valas, com compactador de solos de percussão. af_08/2023</t>
  </si>
  <si>
    <t>01.02.002.006 </t>
  </si>
  <si>
    <t>Grauteamento de cinta intermediária ou de contraverga em alvenaria estrutural. af_09/2021</t>
  </si>
  <si>
    <t>01.02.002.007 </t>
  </si>
  <si>
    <t>Grauteamento de cinta superior ou de verga em alvenaria estrutural. af_09/2021</t>
  </si>
  <si>
    <t>01.02.002.008 </t>
  </si>
  <si>
    <t>Grauteamento vertical em alvenaria estrutural. af_09/2021</t>
  </si>
  <si>
    <t>01.02.002.009 </t>
  </si>
  <si>
    <t>Tubo pvc rigido soldavel, serie reforçada, p/esgoto e aguas pluviais, d= 100mm</t>
  </si>
  <si>
    <t>m</t>
  </si>
  <si>
    <t>01.02.002.010 </t>
  </si>
  <si>
    <t>Alvenaria de blocos de concreto estrutural 14x19x39 cm (espessura 14 cm), fbk = 14 mpa, utilizando colher de pedreiro. af_10/2022</t>
  </si>
  <si>
    <t>01.02.002.011 </t>
  </si>
  <si>
    <t>Escavação mecanizada para viga baldrame ou sapata corrida com mini-escavadeira (incluindo escavação para colocação de fôrmas). af_01/2024</t>
  </si>
  <si>
    <t>01.02.002.012 </t>
  </si>
  <si>
    <t>Fabricação, montagem e desmontagem de fôrma para sapata corrida, em madeira serrada, e=25 mm, 4 utilizações. af_01/2024</t>
  </si>
  <si>
    <t>01.02.002.013 </t>
  </si>
  <si>
    <t>Armação de bloco, sapata isolada, viga baldrame e sapata corrida utilizando aço ca-50 de 16 mm - montagem. af_01/2024</t>
  </si>
  <si>
    <t>01.02.002.014 </t>
  </si>
  <si>
    <t>Concretagem de sapata corrida, fck 30 mpa, com uso de bomba - lançamento, adensamento e acabamento. af_01/2024</t>
  </si>
  <si>
    <t>01.03 </t>
  </si>
  <si>
    <t>DRENAGEM DAS ESTRUTURAS DE CONTENÇÃO</t>
  </si>
  <si>
    <t>01.03.001 </t>
  </si>
  <si>
    <t>CANALETA</t>
  </si>
  <si>
    <t>01.03.001.001 </t>
  </si>
  <si>
    <t>Canaleta meia cana pré-moldada de concreto (d = 20 cm) - fornecimento e instalação. af_08/2021</t>
  </si>
  <si>
    <t>01.03.002 </t>
  </si>
  <si>
    <t>ESCADA HIDRÁULICA</t>
  </si>
  <si>
    <t>01.03.002.001 </t>
  </si>
  <si>
    <t>Escada hidráulica, largura até 1m, tipo descida d'água de corte ou aterro em degraus (dcd 02, 04 e dad 02), em concreto usinado, fck = 20 mpa, lançado com bomba, incluindo armação, materiais e fôrmas (3 utilizações). af_08/2022</t>
  </si>
  <si>
    <t>Setor de Risco A1S2R4 (Contenções e Demolições)</t>
  </si>
  <si>
    <t>02.01 </t>
  </si>
  <si>
    <t>02.01.001 </t>
  </si>
  <si>
    <t>02.01.001.001 </t>
  </si>
  <si>
    <t>02.01.001.002 </t>
  </si>
  <si>
    <t>02.01.001.003 </t>
  </si>
  <si>
    <t>02.01.001.004 </t>
  </si>
  <si>
    <t>02.02 </t>
  </si>
  <si>
    <t>02.02.001 </t>
  </si>
  <si>
    <t>02.02.001.001 </t>
  </si>
  <si>
    <t>02.02.002 </t>
  </si>
  <si>
    <t>02.02.002.001 </t>
  </si>
  <si>
    <t>02.02.002.002 </t>
  </si>
  <si>
    <t>02.02.002.003 </t>
  </si>
  <si>
    <t>02.02.002.004 </t>
  </si>
  <si>
    <t>02.02.002.005 </t>
  </si>
  <si>
    <t>02.02.002.006 </t>
  </si>
  <si>
    <t>02.02.002.007 </t>
  </si>
  <si>
    <t>02.02.002.008 </t>
  </si>
  <si>
    <t>02.02.002.009 </t>
  </si>
  <si>
    <t>02.02.002.010 </t>
  </si>
  <si>
    <t>02.02.002.011 </t>
  </si>
  <si>
    <t>02.02.002.012 </t>
  </si>
  <si>
    <t>02.02.002.013 </t>
  </si>
  <si>
    <t>02.02.002.014 </t>
  </si>
  <si>
    <t>02.03 </t>
  </si>
  <si>
    <t>02.03.001 </t>
  </si>
  <si>
    <t>02.03.001.001 </t>
  </si>
  <si>
    <t>02.03.002 </t>
  </si>
  <si>
    <t>02.03.002.001 </t>
  </si>
  <si>
    <t>Setor de Risco A4S1R3 (Contenções e Demolições)</t>
  </si>
  <si>
    <t>03.01 </t>
  </si>
  <si>
    <t>03.01.001 </t>
  </si>
  <si>
    <t>03.01.001.001 </t>
  </si>
  <si>
    <t>03.01.001.002 </t>
  </si>
  <si>
    <t>03.01.001.003 </t>
  </si>
  <si>
    <t>03.01.001.004 </t>
  </si>
  <si>
    <t>03.02 </t>
  </si>
  <si>
    <t>03.02.001 </t>
  </si>
  <si>
    <t>03.02.001.001 </t>
  </si>
  <si>
    <t>03.02.002 </t>
  </si>
  <si>
    <t>RETALUDAMENTO / RECONSTRUÇÃO EM CORTE/ATERRO</t>
  </si>
  <si>
    <t>03.02.002.001 </t>
  </si>
  <si>
    <t>Escavação manual de vala ou cava em material de 1ª categoria, profundidade entre 1,50 e 3,00m</t>
  </si>
  <si>
    <t>03.02.002.002 </t>
  </si>
  <si>
    <t>Carga manual de material de 1ª categoria</t>
  </si>
  <si>
    <t>03.02.002.003 </t>
  </si>
  <si>
    <t>Compactação manual com compactador a percussão sapinho, a 95% do pn</t>
  </si>
  <si>
    <t>03.03 </t>
  </si>
  <si>
    <t>03.03.001 </t>
  </si>
  <si>
    <t>03.03.001.001 </t>
  </si>
  <si>
    <t>03.03.002 </t>
  </si>
  <si>
    <t>03.03.002.001 </t>
  </si>
  <si>
    <t>Setor de Risco A4S2R4 (Contenções e Demolições)</t>
  </si>
  <si>
    <t>04.01 </t>
  </si>
  <si>
    <t>04.01.001 </t>
  </si>
  <si>
    <t>04.01.001.001 </t>
  </si>
  <si>
    <t>04.01.001.002 </t>
  </si>
  <si>
    <t>04.01.001.003 </t>
  </si>
  <si>
    <t>04.01.001.004 </t>
  </si>
  <si>
    <t>04.02 </t>
  </si>
  <si>
    <t>04.02.001 </t>
  </si>
  <si>
    <t>04.02.001.001 </t>
  </si>
  <si>
    <t>04.02.001.002 </t>
  </si>
  <si>
    <t>04.02.001.003 </t>
  </si>
  <si>
    <t>04.02.002 </t>
  </si>
  <si>
    <t>CORTINA ATIRANTADA</t>
  </si>
  <si>
    <t>04.02.002.001 </t>
  </si>
  <si>
    <t>FUNDAÇÃO - ESTACAS</t>
  </si>
  <si>
    <t>04.02.002.001.001 </t>
  </si>
  <si>
    <t>Perfuratriz com torre metálica para execução de estaca hélice contínua, profundidade máxima de 30 m, diâmetro máximo de 800 mm, potência instalada de 268 hp, mesa rotativa com torque máximo de 170 knm - depreciação. af_06/2015</t>
  </si>
  <si>
    <t>h</t>
  </si>
  <si>
    <t>04.02.002.001.002 </t>
  </si>
  <si>
    <t>Execução de estaca hélice contínua monitorada Ø 500mm, concreto fck=40Mpa, inclusive aço, bombeamento; exclusive mobilização e desmobilização de equipamento e bate-estacas</t>
  </si>
  <si>
    <t>04.02.002.001.003 </t>
  </si>
  <si>
    <t>Transporte horizontal com carrinho de mão, de sacos de 50 kg (unidade: kgxkm). af_07/2019</t>
  </si>
  <si>
    <t>kgxkm</t>
  </si>
  <si>
    <t>04.02.002.001.004 </t>
  </si>
  <si>
    <t>04.02.002.001.005 </t>
  </si>
  <si>
    <t>Transporte com caminhão basculante de 14 m³, em via urbana pavimentada, adicional para dmt excedente a 30 km (unidade: m3xkm). af_07/2020</t>
  </si>
  <si>
    <t>m3xkm</t>
  </si>
  <si>
    <t>04.02.002.002 </t>
  </si>
  <si>
    <t>ESTRUTURA - CORTINA</t>
  </si>
  <si>
    <t>04.02.002.002.001 </t>
  </si>
  <si>
    <t>Fabricação, montagem e desmontagem de fôrma para cortina de contenção, em chapa de madeira compensada plastificada, e = 18 mm, 10 utilizações. af_11/2024</t>
  </si>
  <si>
    <t>04.02.002.002.002 </t>
  </si>
  <si>
    <t>Armação de cortina de contenção em concreto armado, com aço ca-50 de 10 mm - montagem. af_11/2024</t>
  </si>
  <si>
    <t>04.02.002.002.003 </t>
  </si>
  <si>
    <t>Armação de cortina de contenção em concreto armado, com aço ca-50 de 16 mm - montagem. af_11/2024</t>
  </si>
  <si>
    <t>04.02.002.002.004 </t>
  </si>
  <si>
    <t>Concretagem de cortina de contenção, através de bomba - lançamento, adensamento e acabamento. af_11/2024</t>
  </si>
  <si>
    <t>04.02.002.002.005 </t>
  </si>
  <si>
    <t>Junta de dilatação (altura total do pavimento) com preenchimento parcial em isopor h=15cm e preenchimento do complemento com mastique de poliuretano seção 2x2cm, MBT, Basf, ou similar,  para pavimentos em concreto</t>
  </si>
  <si>
    <t>04.02.002.002.006 </t>
  </si>
  <si>
    <t>Execução de perfuração para tirante, comprimento maior ou igual a 6 m e menor que 14 m, com diâmetro de furo de 100 mm executado com haste e tubos de revestimento utilizando perfuratriz sobre esteira. af_11/2023</t>
  </si>
  <si>
    <t>04.02.002.002.007 </t>
  </si>
  <si>
    <t>Tirante Permanente de Aço Protendido D = 32 mm - SICRO 5605882</t>
  </si>
  <si>
    <t>04.02.002.002.008 </t>
  </si>
  <si>
    <t>Conjunto cilindro e bomba hidráulica para protensão de monobarras para tirantes, esforço máximo de 30 toneladas  - materiais na operação. af_05/2023</t>
  </si>
  <si>
    <t>04.02.002.002.009 </t>
  </si>
  <si>
    <t>Execução de proteção da cabeça do tirante com uso de fôrmas metálicas, 50 utilizações, e concreto fck =15 mpa. af_11/2023</t>
  </si>
  <si>
    <t>04.02.002.002.010 </t>
  </si>
  <si>
    <t>Dreno barbacã, dn 100 mm, com material drenante. af_07/2021</t>
  </si>
  <si>
    <t>04.02.002.002.011 </t>
  </si>
  <si>
    <t>Lastro com material granular (pedra britada n.1 e pedra britada n.2), aplicado em pisos ou lajes sobre solo, espessura de *10 cm*. af_01/2024</t>
  </si>
  <si>
    <t>04.02.002.002.012 </t>
  </si>
  <si>
    <t>Impermeabilização - Fornecimento e aplicação de manta geotéxtil RT-21, resistencia a tração=21 kN/m (antigo Bidim OP-40 ou similar) em colchões drenantes</t>
  </si>
  <si>
    <t>04.03 </t>
  </si>
  <si>
    <t>04.03.001 </t>
  </si>
  <si>
    <t>04.03.001.001 </t>
  </si>
  <si>
    <t>04.03.002 </t>
  </si>
  <si>
    <t>04.03.002.001 </t>
  </si>
  <si>
    <t>Setor de Risco A5S2R3 (Contenções e Demolições)</t>
  </si>
  <si>
    <t>05.01 </t>
  </si>
  <si>
    <t>05.01.001 </t>
  </si>
  <si>
    <t>05.01.001.001 </t>
  </si>
  <si>
    <t>05.01.001.002 </t>
  </si>
  <si>
    <t>05.01.001.003 </t>
  </si>
  <si>
    <t>05.01.001.004 </t>
  </si>
  <si>
    <t>05.01.002 </t>
  </si>
  <si>
    <t>05.01.002.001 </t>
  </si>
  <si>
    <t>05.01.002.002 </t>
  </si>
  <si>
    <t>05.01.002.003 </t>
  </si>
  <si>
    <t>05.02 </t>
  </si>
  <si>
    <t>05.02.001 </t>
  </si>
  <si>
    <t>05.02.001.001 </t>
  </si>
  <si>
    <t>05.02.002 </t>
  </si>
  <si>
    <t>05.02.002.001 </t>
  </si>
  <si>
    <t>Obras Complementares</t>
  </si>
  <si>
    <t>06.01 </t>
  </si>
  <si>
    <t>DRENAGEM</t>
  </si>
  <si>
    <t>06.01.001 </t>
  </si>
  <si>
    <t>06.01.001.001 </t>
  </si>
  <si>
    <t>06.01.002 </t>
  </si>
  <si>
    <t>06.01.002.001 </t>
  </si>
  <si>
    <t>Escavação manual de vala ou cava em material de 1ª categoria, profundidade até 1,50m</t>
  </si>
  <si>
    <t>06.02 </t>
  </si>
  <si>
    <t>MOBILIDADE</t>
  </si>
  <si>
    <t>06.02.001 </t>
  </si>
  <si>
    <t>VIELA (CAMINHO PAVIMENTADO/BECO)</t>
  </si>
  <si>
    <t>06.02.001.001 </t>
  </si>
  <si>
    <t>Execução de passeio (calçada) ou piso de concreto com concreto moldado in loco, feito em obra, acabamento convencional, não armado. af_08/2022</t>
  </si>
  <si>
    <t>06.02.002 </t>
  </si>
  <si>
    <t>PASSARELA</t>
  </si>
  <si>
    <t>06.02.002.001 </t>
  </si>
  <si>
    <t>Escavação manual para bloco de coroamento ou sapata (incluindo escavação para colocação de fôrmas). af_01/2024</t>
  </si>
  <si>
    <t>06.02.002.002 </t>
  </si>
  <si>
    <t>Lastro de concreto magro, aplicado em blocos de coroamento ou sapatas, espessura de 5 cm. af_01/2024</t>
  </si>
  <si>
    <t>06.02.002.003 </t>
  </si>
  <si>
    <t>06.02.002.004 </t>
  </si>
  <si>
    <t>Concretagem de sapata, fck 30 mpa, com uso de jerica - lançamento, adensamento e acabamento. af_01/2024</t>
  </si>
  <si>
    <t>06.02.002.005 </t>
  </si>
  <si>
    <t>Montagem e desmontagem de fôrma de pilares retangulares e estruturas similares, pé-direito simples, em chapa de madeira compensada resinada, 2 utilizações. af_09/2020</t>
  </si>
  <si>
    <t>06.02.002.006 </t>
  </si>
  <si>
    <t>Forma plana para vigas, em compensado resinado de 12mm, 06 usos, inclusive escoramento</t>
  </si>
  <si>
    <t>06.02.002.007 </t>
  </si>
  <si>
    <t>Forma plana para lajes, em compensado resinado de 18mm, 04 usos, inclusive escoramento</t>
  </si>
  <si>
    <t>06.02.002.008 </t>
  </si>
  <si>
    <t>Armação de pilar ou viga de estrutura convencional de concreto armado utilizando aço ca-60 de 5,0 mm - montagem. af_06/2022</t>
  </si>
  <si>
    <t>06.02.002.009 </t>
  </si>
  <si>
    <t>Armação de pilar ou viga de estrutura convencional de concreto armado utilizando aço ca-50 de 6,3 mm - montagem. af_06/2022</t>
  </si>
  <si>
    <t>06.02.002.010 </t>
  </si>
  <si>
    <t>Armação de pilar ou viga de estrutura convencional de concreto armado utilizando aço ca-50 de 16,0 mm - montagem. af_06/2022</t>
  </si>
  <si>
    <t>06.02.002.011 </t>
  </si>
  <si>
    <t>Concretagem de pilares, fck=25 mpa, com uso de jericas em cremalheira - lançamento, adensamento e acabamento. af_02/2022</t>
  </si>
  <si>
    <t>06.02.002.012 </t>
  </si>
  <si>
    <t>Concretagem de vigas e lajes, fck=25 mpa, para lajes maciças ou nervuradas com uso de bomba - lançamento, adensamento e acabamento. af_02/2022_ps</t>
  </si>
  <si>
    <t>06.02.002.013 </t>
  </si>
  <si>
    <t>Guarda-corpo tubo de aço galvanizado 2" h = 1,10 m</t>
  </si>
  <si>
    <t>06.02.003 </t>
  </si>
  <si>
    <t>ESCADA</t>
  </si>
  <si>
    <t>06.02.003.001 </t>
  </si>
  <si>
    <t>Escada em concreto armado moldado in loco, fck 25 mpa, com 1 lance e laje plana, fôrma em chapa de madeira compensada resinada. af_11/2020_pa</t>
  </si>
  <si>
    <t>06.02.003.002 </t>
  </si>
  <si>
    <t>Corrimão simples, diâmetro externo = 1 1/2", em aço galvanizado. af_04/2019_ps</t>
  </si>
  <si>
    <t>06.03 </t>
  </si>
  <si>
    <t>ESGOTAMENTO SANITÁRIO</t>
  </si>
  <si>
    <t>06.03.001 </t>
  </si>
  <si>
    <t>REDE COLETORA DE 150 mm</t>
  </si>
  <si>
    <t>06.03.001.001 </t>
  </si>
  <si>
    <t>Tubo de pvc para rede coletora de esgoto de parede maciça, dn 150 mm, junta elástica  - fornecimento e assentamento. af_01/2021</t>
  </si>
  <si>
    <t>06.04 </t>
  </si>
  <si>
    <t>RESÍDUOS SÓLIDOS URBANOS</t>
  </si>
  <si>
    <t>06.04.001 </t>
  </si>
  <si>
    <t>LIXEIRA 240 L</t>
  </si>
  <si>
    <t>06.04.001.001 </t>
  </si>
  <si>
    <t>Lixeira de Plástico de 240 L com Rodas</t>
  </si>
  <si>
    <t>06.04.002 </t>
  </si>
  <si>
    <t>CONTÊINER 1000 L</t>
  </si>
  <si>
    <t>06.04.002.001 </t>
  </si>
  <si>
    <t>Container de lixo em plástico, 1000l, com rodas</t>
  </si>
  <si>
    <t>TOTAL DO ORÇAMENTO</t>
  </si>
  <si>
    <t>Valor Total</t>
  </si>
  <si>
    <t>Subtotal - Áreas de Risco</t>
  </si>
  <si>
    <t>Subtotal - Obras Complementares</t>
  </si>
  <si>
    <t>Valor Parcial</t>
  </si>
  <si>
    <t>Soma</t>
  </si>
  <si>
    <t>Parcial (%)</t>
  </si>
  <si>
    <t>Empreendimento: 000055 - Alto da Esperança (Bairro Esperança)</t>
  </si>
  <si>
    <t>Setor de Risco A1S3R3 (Contenções e Demolições)</t>
  </si>
  <si>
    <t>02.01.002 </t>
  </si>
  <si>
    <t>DEMOLIÇÃO DE EDIFICAÇÕES</t>
  </si>
  <si>
    <t>02.01.002.001 </t>
  </si>
  <si>
    <t>Demolição de alvenaria de bloco furado, de forma manual, sem reaproveitamento. af_09/2023</t>
  </si>
  <si>
    <t>02.01.002.002 </t>
  </si>
  <si>
    <t>Demolição de lajes, em concreto armado, de forma mecanizada com martelete, sem reaproveitamento. af_09/2023</t>
  </si>
  <si>
    <t>02.01.002.003 </t>
  </si>
  <si>
    <t>Demolição de pilares e vigas em concreto armado, de forma mecanizada com martelete, sem reaproveitamento. af_09/2023</t>
  </si>
  <si>
    <t>02.01.002.004 </t>
  </si>
  <si>
    <t>Demolição de revestimento cerâmico, de forma mecanizada com martelete, sem reaproveitamento. af_09/2023</t>
  </si>
  <si>
    <t>02.01.002.005 </t>
  </si>
  <si>
    <t>02.01.002.006 </t>
  </si>
  <si>
    <t>Setor de Risco A2S1R3 (Contenções e Demolições)</t>
  </si>
  <si>
    <t>03.01.002 </t>
  </si>
  <si>
    <t>03.01.002.001 </t>
  </si>
  <si>
    <t>03.01.002.002 </t>
  </si>
  <si>
    <t>03.01.002.003 </t>
  </si>
  <si>
    <t>03.01.002.004 </t>
  </si>
  <si>
    <t>03.01.002.005 </t>
  </si>
  <si>
    <t>03.01.002.006 </t>
  </si>
  <si>
    <t>03.02.002.004 </t>
  </si>
  <si>
    <t>03.02.002.005 </t>
  </si>
  <si>
    <t>03.02.002.006 </t>
  </si>
  <si>
    <t>03.02.002.007 </t>
  </si>
  <si>
    <t>03.02.002.008 </t>
  </si>
  <si>
    <t>03.02.002.009 </t>
  </si>
  <si>
    <t>03.02.002.010 </t>
  </si>
  <si>
    <t>03.02.002.011 </t>
  </si>
  <si>
    <t>03.02.002.012 </t>
  </si>
  <si>
    <t>03.02.002.013 </t>
  </si>
  <si>
    <t>03.02.002.014 </t>
  </si>
  <si>
    <t>03.02.003 </t>
  </si>
  <si>
    <t>03.02.003.001 </t>
  </si>
  <si>
    <t>03.02.003.001.001 </t>
  </si>
  <si>
    <t>03.02.003.001.002 </t>
  </si>
  <si>
    <t>03.02.003.001.003 </t>
  </si>
  <si>
    <t>03.02.003.001.004 </t>
  </si>
  <si>
    <t>03.02.003.001.005 </t>
  </si>
  <si>
    <t>03.02.003.002 </t>
  </si>
  <si>
    <t>03.02.003.002.001 </t>
  </si>
  <si>
    <t>03.02.003.002.002 </t>
  </si>
  <si>
    <t>03.02.003.002.003 </t>
  </si>
  <si>
    <t>03.02.003.002.004 </t>
  </si>
  <si>
    <t>03.02.003.002.005 </t>
  </si>
  <si>
    <t>03.02.003.002.006 </t>
  </si>
  <si>
    <t>03.02.003.002.007 </t>
  </si>
  <si>
    <t>03.02.003.002.008 </t>
  </si>
  <si>
    <t>03.02.003.002.009 </t>
  </si>
  <si>
    <t>03.02.003.002.010 </t>
  </si>
  <si>
    <t>03.02.003.002.011 </t>
  </si>
  <si>
    <t>03.02.003.002.012 </t>
  </si>
  <si>
    <t>04.02.002.003 </t>
  </si>
  <si>
    <t>04.02.002.004 </t>
  </si>
  <si>
    <t>04.02.002.005 </t>
  </si>
  <si>
    <t>04.02.002.006 </t>
  </si>
  <si>
    <t>04.02.002.007 </t>
  </si>
  <si>
    <t>04.02.002.008 </t>
  </si>
  <si>
    <t>04.02.002.009 </t>
  </si>
  <si>
    <t>04.02.002.010 </t>
  </si>
  <si>
    <t>04.02.002.011 </t>
  </si>
  <si>
    <t>04.02.002.012 </t>
  </si>
  <si>
    <t>04.02.002.013 </t>
  </si>
  <si>
    <t>04.02.002.014 </t>
  </si>
  <si>
    <t>05.01.002.004 </t>
  </si>
  <si>
    <t>05.01.002.005 </t>
  </si>
  <si>
    <t>05.01.002.006 </t>
  </si>
  <si>
    <t>05.02.002.002 </t>
  </si>
  <si>
    <t>05.03 </t>
  </si>
  <si>
    <t>05.03.001 </t>
  </si>
  <si>
    <t>05.03.001.001 </t>
  </si>
  <si>
    <t>05.03.002 </t>
  </si>
  <si>
    <t>05.03.002.001 </t>
  </si>
  <si>
    <t>05.03.003 </t>
  </si>
  <si>
    <t>05.03.003.001 </t>
  </si>
  <si>
    <t>05.03.003.002 </t>
  </si>
  <si>
    <t>05.04 </t>
  </si>
  <si>
    <t>05.04.001 </t>
  </si>
  <si>
    <t>05.04.001.001 </t>
  </si>
  <si>
    <t>05.04.002 </t>
  </si>
  <si>
    <t>05.04.002.001 </t>
  </si>
  <si>
    <t>05.04.002.002 </t>
  </si>
  <si>
    <t>05.04.002.003 </t>
  </si>
  <si>
    <t>05.04.002.004 </t>
  </si>
  <si>
    <t>05.04.002.005 </t>
  </si>
  <si>
    <t>05.04.002.006 </t>
  </si>
  <si>
    <t>05.04.002.007 </t>
  </si>
  <si>
    <t>05.04.002.008 </t>
  </si>
  <si>
    <t>05.04.002.009 </t>
  </si>
  <si>
    <t>05.04.002.010 </t>
  </si>
  <si>
    <t>05.04.002.011 </t>
  </si>
  <si>
    <t>05.04.002.012 </t>
  </si>
  <si>
    <t>05.04.002.013 </t>
  </si>
  <si>
    <t>05.04.003 </t>
  </si>
  <si>
    <t>05.04.003.001 </t>
  </si>
  <si>
    <t>05.04.003.002 </t>
  </si>
  <si>
    <t>05.05 </t>
  </si>
  <si>
    <t>05.05.001 </t>
  </si>
  <si>
    <t>05.05.001.001 </t>
  </si>
  <si>
    <t>05.06 </t>
  </si>
  <si>
    <t>05.06.001 </t>
  </si>
  <si>
    <t>05.06.001.001 </t>
  </si>
  <si>
    <t>05.06.002 </t>
  </si>
  <si>
    <t>05.06.002.001 </t>
  </si>
  <si>
    <t>05.03.002.002 </t>
  </si>
  <si>
    <t>05.03.002.003 </t>
  </si>
  <si>
    <t>05.03.002.005 </t>
  </si>
  <si>
    <t>05.03.002.006 </t>
  </si>
  <si>
    <t>05.03.002.007 </t>
  </si>
  <si>
    <t>05.03.002.008 </t>
  </si>
  <si>
    <t>05.03.002.009 </t>
  </si>
  <si>
    <t>05.03.002.010 </t>
  </si>
  <si>
    <t>05.03.002.011 </t>
  </si>
  <si>
    <t>05.03.002.012 </t>
  </si>
  <si>
    <t>05.03.002.013 </t>
  </si>
  <si>
    <t>05.04</t>
  </si>
  <si>
    <t>05.05.002 </t>
  </si>
  <si>
    <t>05.05.002.001 </t>
  </si>
  <si>
    <t>Empreendimento: 000071 - Alto Aureliano (Bairro Esperança)</t>
  </si>
  <si>
    <t>Setor de Risco A1S1R4 (Contenções e Demolições)</t>
  </si>
  <si>
    <t>01.01.002 </t>
  </si>
  <si>
    <t>01.01.002.001 </t>
  </si>
  <si>
    <t>01.01.002.002 </t>
  </si>
  <si>
    <t>01.01.002.003 </t>
  </si>
  <si>
    <t>01.01.002.004 </t>
  </si>
  <si>
    <t>01.01.002.005 </t>
  </si>
  <si>
    <t>01.01.002.006 </t>
  </si>
  <si>
    <t>01.02.003 </t>
  </si>
  <si>
    <t>01.02.003.001 </t>
  </si>
  <si>
    <t>01.02.003.001.001 </t>
  </si>
  <si>
    <t>01.02.003.001.002 </t>
  </si>
  <si>
    <t>01.02.003.001.003 </t>
  </si>
  <si>
    <t>01.02.003.001.004 </t>
  </si>
  <si>
    <t>01.02.003.001.005 </t>
  </si>
  <si>
    <t>01.02.003.002 </t>
  </si>
  <si>
    <t>01.02.003.002.001 </t>
  </si>
  <si>
    <t>01.02.003.002.002 </t>
  </si>
  <si>
    <t>01.02.003.002.003 </t>
  </si>
  <si>
    <t>01.02.003.002.004 </t>
  </si>
  <si>
    <t>01.02.003.002.005 </t>
  </si>
  <si>
    <t>01.02.003.002.006 </t>
  </si>
  <si>
    <t>01.02.003.002.007 </t>
  </si>
  <si>
    <t>01.02.003.002.008 </t>
  </si>
  <si>
    <t>01.02.003.002.009 </t>
  </si>
  <si>
    <t>01.02.003.002.010 </t>
  </si>
  <si>
    <t>01.02.003.002.011 </t>
  </si>
  <si>
    <t>01.02.003.002.012 </t>
  </si>
  <si>
    <t>Setor de Risco A2S3R3 (Contenções e Demolições)</t>
  </si>
  <si>
    <t>03.02.001.002 </t>
  </si>
  <si>
    <t>03.02.001.003 </t>
  </si>
  <si>
    <t>03.02.001.004 </t>
  </si>
  <si>
    <t>03.02.001.005 </t>
  </si>
  <si>
    <t>03.02.001.006 </t>
  </si>
  <si>
    <t>03.02.001.007 </t>
  </si>
  <si>
    <t>03.02.001.008 </t>
  </si>
  <si>
    <t>03.02.001.009 </t>
  </si>
  <si>
    <t>03.02.001.010 </t>
  </si>
  <si>
    <t>03.02.001.011 </t>
  </si>
  <si>
    <t>03.02.001.012 </t>
  </si>
  <si>
    <t>03.02.001.013 </t>
  </si>
  <si>
    <t>03.02.001.014 </t>
  </si>
  <si>
    <t>04.01.002 </t>
  </si>
  <si>
    <t>04.01.002.001 </t>
  </si>
  <si>
    <t>04.01.002.002 </t>
  </si>
  <si>
    <t>04.01.002.003 </t>
  </si>
  <si>
    <t>04.01.002.004 </t>
  </si>
  <si>
    <t>04.01.002.005 </t>
  </si>
  <si>
    <t>04.01.002.006 </t>
  </si>
  <si>
    <t>04.03.003 </t>
  </si>
  <si>
    <t>REDE COLETORA PLUVIAL (REDE+PV)</t>
  </si>
  <si>
    <t>04.03.003.001 </t>
  </si>
  <si>
    <t>Fornecimento e assentamento de tubo corrugado parede dupla PEAD, d= 300mm (12"), p/sistemas drenagem, Tigre-ADS N-12 ou similar</t>
  </si>
  <si>
    <t>04.03.003.002 </t>
  </si>
  <si>
    <t>Caixa de inspeção  0,30 x 0,30 x 0,40m</t>
  </si>
  <si>
    <t>04.04 </t>
  </si>
  <si>
    <t>04.04.001 </t>
  </si>
  <si>
    <t>04.04.001.001 </t>
  </si>
  <si>
    <t>04.04.001.002 </t>
  </si>
  <si>
    <t>04.04.002 </t>
  </si>
  <si>
    <t>04.04.002.001 </t>
  </si>
  <si>
    <t>04.04.002.002 </t>
  </si>
  <si>
    <t>04.04.002.003 </t>
  </si>
  <si>
    <t>04.05 </t>
  </si>
  <si>
    <t>04.05.001 </t>
  </si>
  <si>
    <t>04.05.001.001 </t>
  </si>
  <si>
    <t>Empreendimento: 000028 - Alto do Seringal (Bairro Esperança)</t>
  </si>
  <si>
    <t>LIMPEZA DE TERRENO (204,0 m²)</t>
  </si>
  <si>
    <t>MURO DE ARRIMO (204,0 m²)</t>
  </si>
  <si>
    <t>01.02.001.002 </t>
  </si>
  <si>
    <t>01.02.001.003 </t>
  </si>
  <si>
    <t>01.02.001.004 </t>
  </si>
  <si>
    <t>01.02.001.005 </t>
  </si>
  <si>
    <t>01.02.001.006 </t>
  </si>
  <si>
    <t>01.02.001.007 </t>
  </si>
  <si>
    <t>01.02.001.008 </t>
  </si>
  <si>
    <t>01.02.001.009 </t>
  </si>
  <si>
    <t>01.02.001.010 </t>
  </si>
  <si>
    <t>01.02.001.011 </t>
  </si>
  <si>
    <t>01.02.001.012 </t>
  </si>
  <si>
    <t>01.02.001.013 </t>
  </si>
  <si>
    <t>01.02.001.014 </t>
  </si>
  <si>
    <t>CANALETA (68,0 m)</t>
  </si>
  <si>
    <t>Setor de Risco A3S1R4 (Contenções e Demolições)</t>
  </si>
  <si>
    <t>LIMPEZA DE TERRENO (2063,0 m²)</t>
  </si>
  <si>
    <t>DEMOLIÇÃO DE EDIFICAÇÕES (183,0 m²)</t>
  </si>
  <si>
    <t>SOLO GRAMPEADO (739,0 m²)</t>
  </si>
  <si>
    <t>MURO DE ARRIMO (606,0 m²)</t>
  </si>
  <si>
    <t>02.02.003 </t>
  </si>
  <si>
    <t>RETALUDAMENTO / RECONSTRUÇÃO EM CORTE/ATERRO (715,0 m²)</t>
  </si>
  <si>
    <t>02.02.003.001 </t>
  </si>
  <si>
    <t>02.02.003.002 </t>
  </si>
  <si>
    <t>02.02.003.003 </t>
  </si>
  <si>
    <t>02.02.004 </t>
  </si>
  <si>
    <t>CORTINA ATIRANTADA (3,0 m²)</t>
  </si>
  <si>
    <t>02.02.004.001 </t>
  </si>
  <si>
    <t>02.02.004.001.001 </t>
  </si>
  <si>
    <t>02.02.004.001.002 </t>
  </si>
  <si>
    <t>02.02.004.001.003 </t>
  </si>
  <si>
    <t>02.02.004.001.004 </t>
  </si>
  <si>
    <t>02.02.004.001.005 </t>
  </si>
  <si>
    <t>02.02.004.002 </t>
  </si>
  <si>
    <t>02.02.004.002.001 </t>
  </si>
  <si>
    <t>02.02.004.002.002 </t>
  </si>
  <si>
    <t>02.02.004.002.003 </t>
  </si>
  <si>
    <t>02.02.004.002.004 </t>
  </si>
  <si>
    <t>02.02.004.002.005 </t>
  </si>
  <si>
    <t>02.02.004.002.006 </t>
  </si>
  <si>
    <t>02.02.004.002.007 </t>
  </si>
  <si>
    <t>02.02.004.002.008 </t>
  </si>
  <si>
    <t>02.02.004.002.009 </t>
  </si>
  <si>
    <t>02.02.004.002.010 </t>
  </si>
  <si>
    <t>02.02.004.002.011 </t>
  </si>
  <si>
    <t>02.02.004.002.012 </t>
  </si>
  <si>
    <t>CANALETA (455,0 m)</t>
  </si>
  <si>
    <t>ESCADA HIDRÁULICA (28,0 m)</t>
  </si>
  <si>
    <t>03.01.003 </t>
  </si>
  <si>
    <t>03.01.003.001 </t>
  </si>
  <si>
    <t>03.01.003.002 </t>
  </si>
  <si>
    <t>03.04 </t>
  </si>
  <si>
    <t>03.04.001 </t>
  </si>
  <si>
    <t>03.04.001.001 </t>
  </si>
  <si>
    <t>03.04.002 </t>
  </si>
  <si>
    <t>03.04.002.001 </t>
  </si>
  <si>
    <t xml:space="preserve">PASSARELA </t>
  </si>
  <si>
    <t xml:space="preserve">ESCADA HIDRÁULICA </t>
  </si>
  <si>
    <t xml:space="preserve">CANALETA </t>
  </si>
  <si>
    <t xml:space="preserve">VIELA (CAMINHO PAVIMENTADO/BECO) </t>
  </si>
  <si>
    <t xml:space="preserve">REDE COLETORA PLUVIAL (REDE+PV) </t>
  </si>
  <si>
    <t xml:space="preserve">ESCADA </t>
  </si>
  <si>
    <t xml:space="preserve">REDE COLETORA DE 150 mm </t>
  </si>
  <si>
    <t xml:space="preserve">LIXEIRA 240 L </t>
  </si>
  <si>
    <t xml:space="preserve">CONTÊINER 1000 L </t>
  </si>
  <si>
    <t>Empreendimento: 000016 - Alto Vila Freitas (Bairro Esperança)</t>
  </si>
  <si>
    <t>02.01.003 </t>
  </si>
  <si>
    <t>02.01.003.001 </t>
  </si>
  <si>
    <t>02.01.003.002 </t>
  </si>
  <si>
    <t>02.04 </t>
  </si>
  <si>
    <t>02.04.001 </t>
  </si>
  <si>
    <t>02.04.001.001 </t>
  </si>
  <si>
    <t>Empreendimento: 000029 - Alto Nova Esperança (Bairro Esperança)</t>
  </si>
  <si>
    <t>Empreendimento: 000060 - Alto da Floresta (Bairro Malhado)</t>
  </si>
  <si>
    <t>Setor de Risco A4S2R3 (Contenções e Demolições)</t>
  </si>
  <si>
    <t>Setor de Risco A4S5R3 (Contenções e Demolições)</t>
  </si>
  <si>
    <t>Setor de Risco A4S6R4 (Contenções e Demolições)</t>
  </si>
  <si>
    <t>Empreendimento: 000059 - Alto do Coqueiro (Bairro Malhado)</t>
  </si>
  <si>
    <t>01.02.002.001.001 </t>
  </si>
  <si>
    <t>01.02.002.001.002 </t>
  </si>
  <si>
    <t>01.02.002.001.003 </t>
  </si>
  <si>
    <t>01.02.002.001.004 </t>
  </si>
  <si>
    <t>01.02.002.001.005 </t>
  </si>
  <si>
    <t>01.02.002.002.001 </t>
  </si>
  <si>
    <t>01.02.002.002.002 </t>
  </si>
  <si>
    <t>01.02.002.002.003 </t>
  </si>
  <si>
    <t>01.02.002.002.004 </t>
  </si>
  <si>
    <t>01.02.002.002.005 </t>
  </si>
  <si>
    <t>01.02.002.002.006 </t>
  </si>
  <si>
    <t>01.02.002.002.007 </t>
  </si>
  <si>
    <t>01.02.002.002.008 </t>
  </si>
  <si>
    <t>01.02.002.002.009 </t>
  </si>
  <si>
    <t>01.02.002.002.010 </t>
  </si>
  <si>
    <t>01.02.002.002.011 </t>
  </si>
  <si>
    <t>01.02.002.002.012 </t>
  </si>
  <si>
    <t>Setor de Risco A3S2R3 (Contenções e Demolições)</t>
  </si>
  <si>
    <t>Setor de Risco A5S1R3 (Contenções e Demolições)</t>
  </si>
  <si>
    <t>Setor de Risco A6S1R4 (Contenções e Demolições)</t>
  </si>
  <si>
    <t>04.06 </t>
  </si>
  <si>
    <t>04.06.001 </t>
  </si>
  <si>
    <t>04.06.001.001 </t>
  </si>
  <si>
    <t>04.06.002 </t>
  </si>
  <si>
    <t>04.06.002.001 </t>
  </si>
  <si>
    <t>Empreendimento: 000062 - Alto da Legião (Bairro Malhado)</t>
  </si>
  <si>
    <t>Setor de risco A4S3R3 (Contenções e Demolições)</t>
  </si>
  <si>
    <t>Setor de risco A4S5R3 (Contenções e Demolições)</t>
  </si>
  <si>
    <t>Setor de risco A4S7R3 (Contenções e Demolições)</t>
  </si>
  <si>
    <t>03.02.003.003 </t>
  </si>
  <si>
    <t>Empreendimento: 000061 - Alto do Amparo (Bairro Malhado)</t>
  </si>
  <si>
    <t>Setor de Risco A3S3R4 (Contenções e Demolições)</t>
  </si>
  <si>
    <t>02.02.001.002 </t>
  </si>
  <si>
    <t>02.02.001.003 </t>
  </si>
  <si>
    <t>Setor de Risco A3S5R3 (Contenções e Demolições)</t>
  </si>
  <si>
    <t>Setor de Risco A3S6R4 (Contenções e Demolições)</t>
  </si>
  <si>
    <t>REDE COLETORA DE 300 mm</t>
  </si>
  <si>
    <t>Tubo de pvc para rede coletora de esgoto de parede maciça, dn 300 mm, junta elástica,  fornecimento e assentamento. af_01/2021</t>
  </si>
  <si>
    <t>Setor de Risco A1S2R3 (Contenções e Demoliçoes)</t>
  </si>
  <si>
    <t>Setor de Risco A2S1R4 (Contenções e Demolições)</t>
  </si>
  <si>
    <t>Setor de Risco A2S2R3 (Contenções e Demolições)</t>
  </si>
  <si>
    <t>05.02.001.002 </t>
  </si>
  <si>
    <t>05.02.001.003 </t>
  </si>
  <si>
    <t>05.02.001.004 </t>
  </si>
  <si>
    <t>05.02.001.005 </t>
  </si>
  <si>
    <t>05.02.001.006 </t>
  </si>
  <si>
    <t>05.02.001.007 </t>
  </si>
  <si>
    <t>05.02.001.008 </t>
  </si>
  <si>
    <t>05.02.001.009 </t>
  </si>
  <si>
    <t>05.02.001.010 </t>
  </si>
  <si>
    <t>05.02.001.011 </t>
  </si>
  <si>
    <t>05.02.001.012 </t>
  </si>
  <si>
    <t>05.02.001.013 </t>
  </si>
  <si>
    <t>05.02.001.014 </t>
  </si>
  <si>
    <t>Setor de Risco A3S4R3 (Contenções e Demolições)</t>
  </si>
  <si>
    <t>06.01.001.002 </t>
  </si>
  <si>
    <t>06.01.001.003 </t>
  </si>
  <si>
    <t>06.01.001.004 </t>
  </si>
  <si>
    <t>Setor de Risco A3S5R4 (Contenções e Demolições)</t>
  </si>
  <si>
    <t>07.01 </t>
  </si>
  <si>
    <t>07.01.001 </t>
  </si>
  <si>
    <t>07.01.001.001 </t>
  </si>
  <si>
    <t>07.01.001.002 </t>
  </si>
  <si>
    <t>07.01.001.003 </t>
  </si>
  <si>
    <t>07.01.001.004 </t>
  </si>
  <si>
    <t>07.02 </t>
  </si>
  <si>
    <t>07.02.001 </t>
  </si>
  <si>
    <t>07.02.001.001 </t>
  </si>
  <si>
    <t>07.02.002 </t>
  </si>
  <si>
    <t>07.02.002.001 </t>
  </si>
  <si>
    <t>07.02.002.002 </t>
  </si>
  <si>
    <t>07.02.002.003 </t>
  </si>
  <si>
    <t>07.02.002.004 </t>
  </si>
  <si>
    <t>07.02.002.005 </t>
  </si>
  <si>
    <t>07.02.002.006 </t>
  </si>
  <si>
    <t>07.02.002.007 </t>
  </si>
  <si>
    <t>07.02.002.008 </t>
  </si>
  <si>
    <t>07.02.002.009 </t>
  </si>
  <si>
    <t>07.02.002.010 </t>
  </si>
  <si>
    <t>07.02.002.011 </t>
  </si>
  <si>
    <t>07.02.002.012 </t>
  </si>
  <si>
    <t>07.02.002.013 </t>
  </si>
  <si>
    <t>07.02.002.014 </t>
  </si>
  <si>
    <t>07.03 </t>
  </si>
  <si>
    <t>07.03.001 </t>
  </si>
  <si>
    <t>07.03.001.001 </t>
  </si>
  <si>
    <t>Setor de Risco A3S6R3 (Contenções e Demolições)</t>
  </si>
  <si>
    <t>08.01 </t>
  </si>
  <si>
    <t>08.01.001 </t>
  </si>
  <si>
    <t>08.01.001.001 </t>
  </si>
  <si>
    <t>08.01.001.002 </t>
  </si>
  <si>
    <t>08.01.001.003 </t>
  </si>
  <si>
    <t>08.01.001.004 </t>
  </si>
  <si>
    <t>08.02 </t>
  </si>
  <si>
    <t>08.02.001 </t>
  </si>
  <si>
    <t>08.02.001.001 </t>
  </si>
  <si>
    <t>08.03 </t>
  </si>
  <si>
    <t>08.03.001 </t>
  </si>
  <si>
    <t>08.03.001.001 </t>
  </si>
  <si>
    <t>08.03.002 </t>
  </si>
  <si>
    <t>08.03.002.001 </t>
  </si>
  <si>
    <t>09.01 </t>
  </si>
  <si>
    <t>09.01.001 </t>
  </si>
  <si>
    <t>09.01.001.001 </t>
  </si>
  <si>
    <t>09.01.001.002 </t>
  </si>
  <si>
    <t>09.01.001.003 </t>
  </si>
  <si>
    <t>09.01.001.004 </t>
  </si>
  <si>
    <t>09.01.002 </t>
  </si>
  <si>
    <t>09.01.002.001 </t>
  </si>
  <si>
    <t>09.01.002.002 </t>
  </si>
  <si>
    <t>09.01.002.003 </t>
  </si>
  <si>
    <t>09.01.002.004 </t>
  </si>
  <si>
    <t>09.01.002.005 </t>
  </si>
  <si>
    <t>09.01.002.006 </t>
  </si>
  <si>
    <t>09.03 </t>
  </si>
  <si>
    <t>09.03.001 </t>
  </si>
  <si>
    <t>09.03.001.001 </t>
  </si>
  <si>
    <t>09.03.002 </t>
  </si>
  <si>
    <t>09.03.002.001 </t>
  </si>
  <si>
    <t>09.04 </t>
  </si>
  <si>
    <t>09.04.001 </t>
  </si>
  <si>
    <t>09.04.001.001 </t>
  </si>
  <si>
    <t>09.04.002 </t>
  </si>
  <si>
    <t>09.04.002.001 </t>
  </si>
  <si>
    <t>09.04.002.002 </t>
  </si>
  <si>
    <t>09.04.002.003 </t>
  </si>
  <si>
    <t>09.04.002.004 </t>
  </si>
  <si>
    <t>09.04.002.005 </t>
  </si>
  <si>
    <t>09.04.002.006 </t>
  </si>
  <si>
    <t>09.04.002.007 </t>
  </si>
  <si>
    <t>09.04.002.008 </t>
  </si>
  <si>
    <t>09.04.002.009 </t>
  </si>
  <si>
    <t>09.04.002.010 </t>
  </si>
  <si>
    <t>09.04.002.011 </t>
  </si>
  <si>
    <t>09.04.002.012 </t>
  </si>
  <si>
    <t>09.04.002.013 </t>
  </si>
  <si>
    <t>09.04.003 </t>
  </si>
  <si>
    <t>09.04.003.001 </t>
  </si>
  <si>
    <t>09.04.003.002 </t>
  </si>
  <si>
    <t>09.05 </t>
  </si>
  <si>
    <t>09.05.001 </t>
  </si>
  <si>
    <t>09.05.001.001 </t>
  </si>
  <si>
    <t>09.05.002 </t>
  </si>
  <si>
    <t>09.05.002.001 </t>
  </si>
  <si>
    <t>09.06 </t>
  </si>
  <si>
    <t>09.06.001 </t>
  </si>
  <si>
    <t>09.06.001.001 </t>
  </si>
  <si>
    <t>09.06.002 </t>
  </si>
  <si>
    <t>09.06.002.001 </t>
  </si>
  <si>
    <t>01 </t>
  </si>
  <si>
    <t>01.001 </t>
  </si>
  <si>
    <t>01.001.001 </t>
  </si>
  <si>
    <t>01.001.002 </t>
  </si>
  <si>
    <t>01.001.003 </t>
  </si>
  <si>
    <t>01.001.004 </t>
  </si>
  <si>
    <t>02 </t>
  </si>
  <si>
    <t>02.001 </t>
  </si>
  <si>
    <t>02.001.001 </t>
  </si>
  <si>
    <t>02.002 </t>
  </si>
  <si>
    <t>02.002.001 </t>
  </si>
  <si>
    <t>02.002.002 </t>
  </si>
  <si>
    <t>02.002.003 </t>
  </si>
  <si>
    <t>02.002.004 </t>
  </si>
  <si>
    <t>02.002.005 </t>
  </si>
  <si>
    <t>02.002.006 </t>
  </si>
  <si>
    <t>02.002.007 </t>
  </si>
  <si>
    <t>02.002.008 </t>
  </si>
  <si>
    <t>02.002.009 </t>
  </si>
  <si>
    <t>02.002.010 </t>
  </si>
  <si>
    <t>02.002.011 </t>
  </si>
  <si>
    <t>02.002.012 </t>
  </si>
  <si>
    <t>02.002.013 </t>
  </si>
  <si>
    <t>02.002.014 </t>
  </si>
  <si>
    <t>03 </t>
  </si>
  <si>
    <t>03.001 </t>
  </si>
  <si>
    <t>03.001.001 </t>
  </si>
  <si>
    <t>03.002 </t>
  </si>
  <si>
    <t>03.002.001 </t>
  </si>
  <si>
    <t>04.04.002.004 </t>
  </si>
  <si>
    <t>04.04.002.005 </t>
  </si>
  <si>
    <t>04.04.002.006 </t>
  </si>
  <si>
    <t>04.04.002.007 </t>
  </si>
  <si>
    <t>04.04.002.008 </t>
  </si>
  <si>
    <t>04.04.002.009 </t>
  </si>
  <si>
    <t>04.04.002.010 </t>
  </si>
  <si>
    <t>04.04.002.011 </t>
  </si>
  <si>
    <t>04.04.002.012 </t>
  </si>
  <si>
    <t>04.04.002.013 </t>
  </si>
  <si>
    <t>04.04.003 </t>
  </si>
  <si>
    <t>04.04.003.001 </t>
  </si>
  <si>
    <t>04.04.003.002 </t>
  </si>
  <si>
    <t>Id</t>
  </si>
  <si>
    <t>Grau</t>
  </si>
  <si>
    <t>Custo Estimado das Obras</t>
  </si>
  <si>
    <t>Subtotal 1</t>
  </si>
  <si>
    <t>Projeto executivo, levantamentos, ensaios e estudos (5%)</t>
  </si>
  <si>
    <t>Serviços preliminares (limpeza do terreno, tapume e canteiro) (4%)</t>
  </si>
  <si>
    <t>Equipamentos de monitoramento e alerta (1%)</t>
  </si>
  <si>
    <t>Ações sociais e trabalho social (3%)</t>
  </si>
  <si>
    <t>Avaliação pós-intervenção e ocupação (0,5%)</t>
  </si>
  <si>
    <t>Subtotal 2</t>
  </si>
  <si>
    <t>BDI (26,8%)</t>
  </si>
  <si>
    <t>Custo Total</t>
  </si>
  <si>
    <t>Custo Por Domicílio</t>
  </si>
  <si>
    <t>Número de Domicílios - Soma</t>
  </si>
  <si>
    <t>Contenções e Demolições</t>
  </si>
  <si>
    <t>Custo Estimado das Obras de Drenagem</t>
  </si>
  <si>
    <t>Custo Estimado das Obras de Mobilidade</t>
  </si>
  <si>
    <t>Custo Estimado das Obras de Esgoto</t>
  </si>
  <si>
    <t>Custo Estimado das Obras de Obras De Rsu</t>
  </si>
  <si>
    <t>Subtotal 3</t>
  </si>
  <si>
    <t>Subtotal 4</t>
  </si>
  <si>
    <t>-</t>
  </si>
  <si>
    <t>Valores Adicionais (%)</t>
  </si>
  <si>
    <t>Custo Estimado dos Serviços Preliminares / Demolições / Limpeza</t>
  </si>
  <si>
    <t>03.05.005 </t>
  </si>
  <si>
    <t>03.05.005.002 </t>
  </si>
  <si>
    <t>03.05.005.003 </t>
  </si>
  <si>
    <t>03.05.005.001</t>
  </si>
  <si>
    <t>03.05.005.004</t>
  </si>
  <si>
    <t>05.01.001.004</t>
  </si>
  <si>
    <t>Empreendimento: 000056 - Alto Nerival (Bairro Barra Taipe)</t>
  </si>
  <si>
    <t xml:space="preserve">01 - Estimativa de Custos das Intervenções Estruturais </t>
  </si>
  <si>
    <t>Setor de Risco A5S1R4 (Contenções e Demolições)</t>
  </si>
  <si>
    <t>Empreendimento: 000064 - Alto do Cano (Bairro Barra Taipe)</t>
  </si>
  <si>
    <t>Empreendimento: 000063 - Alto Soledade (Bairro Barra Taipe)</t>
  </si>
  <si>
    <t>SOMA</t>
  </si>
  <si>
    <t>Subtotal 1 + Adicionais %</t>
  </si>
  <si>
    <t>Subtotal 2 + Adicionais %</t>
  </si>
  <si>
    <t>Subtotal 5</t>
  </si>
  <si>
    <t>Subtotal 4 + Subtotal 5</t>
  </si>
  <si>
    <t>Subtotal 4 + BDI</t>
  </si>
  <si>
    <t>Subtotal 5 + BDI</t>
  </si>
  <si>
    <t>Subtotal 6</t>
  </si>
  <si>
    <t>Subtotal 7</t>
  </si>
  <si>
    <t>Subtotal 6 + Subtotal 7</t>
  </si>
  <si>
    <t>CODIGO_ALTO</t>
  </si>
  <si>
    <t>ESPCAR_A1S1R3</t>
  </si>
  <si>
    <t>--</t>
  </si>
  <si>
    <t>ESPCAR_A1S2R4</t>
  </si>
  <si>
    <t>ESPCAR_A4S1R3</t>
  </si>
  <si>
    <t>ESPCAR_A4S2R4</t>
  </si>
  <si>
    <t>ESPCAR_A5S2R3</t>
  </si>
  <si>
    <t>ESPCAR_01</t>
  </si>
  <si>
    <t>CODIGO_ORSE</t>
  </si>
  <si>
    <r>
      <rPr>
        <sz val="8"/>
        <rFont val="Courier New"/>
        <family val="3"/>
      </rPr>
      <t>0003/ ORSE</t>
    </r>
  </si>
  <si>
    <r>
      <rPr>
        <sz val="8"/>
        <rFont val="Courier New"/>
        <family val="3"/>
      </rPr>
      <t>5029/ ORSE</t>
    </r>
  </si>
  <si>
    <r>
      <rPr>
        <sz val="8"/>
        <rFont val="Courier New"/>
        <family val="3"/>
      </rPr>
      <t>0026/ ORSE</t>
    </r>
  </si>
  <si>
    <r>
      <rPr>
        <sz val="8"/>
        <rFont val="Courier New"/>
        <family val="3"/>
      </rPr>
      <t>97917/ SINAPI</t>
    </r>
  </si>
  <si>
    <t>0003/ ORSE</t>
  </si>
  <si>
    <t>5029/ ORSE</t>
  </si>
  <si>
    <t>0026/ ORSE</t>
  </si>
  <si>
    <t>97917/ SINAPI</t>
  </si>
  <si>
    <t>13481/ ORSE</t>
  </si>
  <si>
    <t>03672/ SINAPI</t>
  </si>
  <si>
    <t>02923/ SINAPI</t>
  </si>
  <si>
    <t>02922/ SINAPI</t>
  </si>
  <si>
    <t>02921/ SINAPI</t>
  </si>
  <si>
    <t>93382/ SINAPI</t>
  </si>
  <si>
    <t>89994/ SINAPI</t>
  </si>
  <si>
    <t>89995/ SINAPI</t>
  </si>
  <si>
    <t>89993/ SINAPI</t>
  </si>
  <si>
    <t>9377/ ORSE</t>
  </si>
  <si>
    <t>89472/ SINAPI</t>
  </si>
  <si>
    <t>96525/ SINAPI</t>
  </si>
  <si>
    <t>04927/ SINAPI</t>
  </si>
  <si>
    <t>04921/ SINAPI</t>
  </si>
  <si>
    <t>04924/SINAPI</t>
  </si>
  <si>
    <t xml:space="preserve">02989/ SINAPI </t>
  </si>
  <si>
    <t xml:space="preserve"> 03925/ SINAPI </t>
  </si>
  <si>
    <t>04924/ SINAPI</t>
  </si>
  <si>
    <t>02989/ SINAPI</t>
  </si>
  <si>
    <t>03925/ SINAPI</t>
  </si>
  <si>
    <t>2498/ ORSE</t>
  </si>
  <si>
    <t>2509/ ORSE</t>
  </si>
  <si>
    <t>11448/ ORSE</t>
  </si>
  <si>
    <r>
      <rPr>
        <sz val="8"/>
        <rFont val="Courier New"/>
        <family val="3"/>
      </rPr>
      <t>02989/ SINAPI</t>
    </r>
  </si>
  <si>
    <r>
      <rPr>
        <sz val="8"/>
        <rFont val="Courier New"/>
        <family val="3"/>
      </rPr>
      <t>03925/ SINAPI</t>
    </r>
  </si>
  <si>
    <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</si>
</sst>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164" formatCode="##.##000##"/>
    <numFmt numFmtId="165" formatCode="##.##000"/>
    <numFmt numFmtId="166"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font>
    <font>
      <b/>
      <sz val="10"/>
      <color theme="1"/>
      <name val="Arial"/>
      <family val="2"/>
    </font>
    <font>
      <sz val="10"/>
      <color theme="1"/>
      <name val="Arial"/>
      <family val="2"/>
    </font>
    <font>
      <b/>
      <sz val="10"/>
      <color rgb="FF00B050"/>
      <name val="Arial"/>
      <family val="2"/>
    </font>
    <font>
      <sz val="10"/>
      <color rgb="FF00B050"/>
      <name val="Arial"/>
      <family val="2"/>
    </font>
    <font>
      <sz val="11"/>
      <color rgb="FF00B050"/>
      <name val="Calibri"/>
      <family val="2"/>
      <scheme val="minor"/>
    </font>
    <font>
      <sz val="10"/>
      <color theme="0" tint="-0.249977111117893"/>
      <name val="Arial"/>
      <family val="2"/>
    </font>
    <font>
      <sz val="10"/>
      <name val="Arial"/>
      <family val="2"/>
    </font>
    <font>
      <b/>
      <sz val="10"/>
      <name val="Arial"/>
      <family val="2"/>
    </font>
    <font>
      <sz val="11"/>
      <name val="Calibri"/>
      <family val="2"/>
      <scheme val="minor"/>
    </font>
    <font>
      <b/>
      <sz val="11"/>
      <color theme="1"/>
      <name val="Arial"/>
      <family val="2"/>
    </font>
    <font>
      <sz val="10"/>
      <color rgb="FF000000"/>
      <name val="Arial"/>
      <family val="2"/>
    </font>
    <font>
      <sz val="11"/>
      <color theme="0" tint="-0.34998626667073579"/>
      <name val="Calibri"/>
      <family val="2"/>
      <scheme val="minor"/>
    </font>
    <font>
      <sz val="8"/>
      <name val="Calibri"/>
      <family val="2"/>
      <scheme val="minor"/>
    </font>
    <font>
      <sz val="8"/>
      <name val="Courier New"/>
      <family val="3"/>
    </font>
    <font>
      <u/>
      <sz val="10"/>
      <color theme="1"/>
      <name val="Arial"/>
      <family val="2"/>
    </font>
    <font>
      <sz val="10"/>
      <color rgb="FF000000"/>
      <name val="Times New Roman"/>
      <family val="1"/>
    </font>
  </fonts>
  <fills count="9">
    <fill>
      <patternFill patternType="none"/>
    </fill>
    <fill>
      <patternFill patternType="gray125"/>
    </fill>
    <fill>
      <patternFill patternType="solid">
        <fgColor theme="6" tint="0.79998168889431442"/>
        <bgColor rgb="FFFEF1CC"/>
      </patternFill>
    </fill>
    <fill>
      <patternFill patternType="solid">
        <fgColor theme="6" tint="0.79998168889431442"/>
        <bgColor indexed="64"/>
      </patternFill>
    </fill>
    <fill>
      <patternFill patternType="solid">
        <fgColor theme="6" tint="0.79998168889431442"/>
        <bgColor rgb="FFCCCCCC"/>
      </patternFill>
    </fill>
    <fill>
      <patternFill patternType="solid">
        <fgColor rgb="FFC0C0C0"/>
        <bgColor indexed="64"/>
      </patternFill>
    </fill>
    <fill>
      <patternFill patternType="solid">
        <fgColor theme="0" tint="-4.9989318521683403E-2"/>
        <bgColor indexed="64"/>
      </patternFill>
    </fill>
    <fill>
      <patternFill patternType="solid">
        <fgColor rgb="FFEDF2EF"/>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thin">
        <color rgb="FFEDF2EF"/>
      </top>
      <bottom/>
      <diagonal/>
    </border>
    <border>
      <left/>
      <right/>
      <top style="thin">
        <color rgb="FFEDF2EF"/>
      </top>
      <bottom style="thin">
        <color rgb="FFEDF2EF"/>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00">
    <xf numFmtId="0" fontId="0" fillId="0" borderId="0" xfId="0"/>
    <xf numFmtId="0" fontId="4" fillId="0" borderId="0" xfId="0" applyFont="1" applyAlignment="1">
      <alignment horizontal="left"/>
    </xf>
    <xf numFmtId="0" fontId="5" fillId="0" borderId="0" xfId="0" applyFont="1" applyAlignment="1">
      <alignment horizontal="left" wrapText="1"/>
    </xf>
    <xf numFmtId="0" fontId="5" fillId="0" borderId="0" xfId="0" applyFont="1" applyAlignment="1">
      <alignment horizontal="center"/>
    </xf>
    <xf numFmtId="164" fontId="5" fillId="0" borderId="0" xfId="0" applyNumberFormat="1" applyFont="1" applyAlignment="1">
      <alignment horizontal="right"/>
    </xf>
    <xf numFmtId="165" fontId="5" fillId="0" borderId="0" xfId="0" applyNumberFormat="1" applyFont="1" applyAlignment="1">
      <alignment horizontal="right"/>
    </xf>
    <xf numFmtId="0" fontId="5" fillId="0" borderId="0" xfId="0" applyFont="1" applyAlignment="1">
      <alignment horizontal="left"/>
    </xf>
    <xf numFmtId="0" fontId="0" fillId="0" borderId="0" xfId="0" applyAlignment="1">
      <alignment vertical="center"/>
    </xf>
    <xf numFmtId="0" fontId="4" fillId="0" borderId="1"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44" fontId="4" fillId="0" borderId="1" xfId="1" applyFont="1" applyBorder="1" applyAlignment="1">
      <alignment horizontal="right" vertical="center"/>
    </xf>
    <xf numFmtId="44" fontId="5" fillId="0" borderId="1" xfId="1" applyFont="1" applyBorder="1" applyAlignment="1">
      <alignment horizontal="right" vertical="center"/>
    </xf>
    <xf numFmtId="44" fontId="5" fillId="0" borderId="0" xfId="1" applyFont="1" applyAlignment="1">
      <alignment horizontal="right"/>
    </xf>
    <xf numFmtId="44" fontId="0" fillId="0" borderId="0" xfId="1" applyFont="1"/>
    <xf numFmtId="44" fontId="6" fillId="0" borderId="1" xfId="1" applyFont="1" applyBorder="1" applyAlignment="1">
      <alignment horizontal="right" vertical="center"/>
    </xf>
    <xf numFmtId="44" fontId="7" fillId="0" borderId="1" xfId="1" applyFont="1" applyBorder="1" applyAlignment="1">
      <alignment horizontal="right" vertical="center"/>
    </xf>
    <xf numFmtId="0" fontId="0" fillId="0" borderId="1" xfId="0" applyBorder="1" applyAlignment="1">
      <alignment vertical="center"/>
    </xf>
    <xf numFmtId="44" fontId="4" fillId="0" borderId="1" xfId="1" applyFont="1" applyBorder="1" applyAlignment="1">
      <alignment horizontal="center" vertical="center"/>
    </xf>
    <xf numFmtId="0" fontId="0" fillId="0" borderId="0" xfId="0" applyAlignment="1">
      <alignment horizontal="center"/>
    </xf>
    <xf numFmtId="0" fontId="0" fillId="0" borderId="1" xfId="0" applyBorder="1"/>
    <xf numFmtId="0" fontId="5" fillId="0" borderId="9" xfId="0" applyFont="1" applyBorder="1" applyAlignment="1">
      <alignment horizontal="left" vertical="center" wrapText="1"/>
    </xf>
    <xf numFmtId="0" fontId="5" fillId="0" borderId="9" xfId="0" applyFont="1" applyBorder="1" applyAlignment="1">
      <alignment horizontal="center" vertical="center"/>
    </xf>
    <xf numFmtId="44" fontId="5" fillId="0" borderId="9" xfId="1" applyFont="1" applyBorder="1" applyAlignment="1">
      <alignment horizontal="right" vertical="center"/>
    </xf>
    <xf numFmtId="0" fontId="4" fillId="0" borderId="10" xfId="0" applyFont="1" applyBorder="1" applyAlignment="1">
      <alignment horizontal="left" vertical="center" wrapText="1"/>
    </xf>
    <xf numFmtId="0" fontId="4" fillId="0" borderId="11" xfId="0" applyFont="1" applyBorder="1" applyAlignment="1">
      <alignment horizontal="left" vertical="center" wrapText="1"/>
    </xf>
    <xf numFmtId="0" fontId="5" fillId="0" borderId="11" xfId="0" applyFont="1" applyBorder="1" applyAlignment="1">
      <alignment horizontal="center" vertical="center"/>
    </xf>
    <xf numFmtId="164" fontId="5" fillId="0" borderId="11" xfId="0" applyNumberFormat="1" applyFont="1" applyBorder="1" applyAlignment="1">
      <alignment horizontal="right" vertical="center"/>
    </xf>
    <xf numFmtId="44" fontId="5" fillId="0" borderId="11" xfId="1" applyFont="1" applyBorder="1" applyAlignment="1">
      <alignment horizontal="right" vertical="center"/>
    </xf>
    <xf numFmtId="0" fontId="0" fillId="0" borderId="12" xfId="0" applyBorder="1" applyAlignment="1">
      <alignment vertical="center"/>
    </xf>
    <xf numFmtId="44" fontId="6" fillId="0" borderId="11" xfId="1" applyFont="1" applyBorder="1" applyAlignment="1">
      <alignment horizontal="right" vertical="center"/>
    </xf>
    <xf numFmtId="0" fontId="4" fillId="0" borderId="14" xfId="0" applyFont="1" applyBorder="1" applyAlignment="1">
      <alignment horizontal="left" vertical="center" wrapText="1"/>
    </xf>
    <xf numFmtId="0" fontId="5" fillId="0" borderId="14" xfId="0" applyFont="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5" fillId="0" borderId="17" xfId="0" applyFont="1" applyBorder="1" applyAlignment="1">
      <alignment horizontal="center" vertical="center"/>
    </xf>
    <xf numFmtId="44" fontId="5" fillId="0" borderId="17" xfId="1" applyFont="1" applyBorder="1" applyAlignment="1">
      <alignment horizontal="right" vertical="center"/>
    </xf>
    <xf numFmtId="0" fontId="0" fillId="0" borderId="18" xfId="0" applyBorder="1" applyAlignment="1">
      <alignment vertical="center"/>
    </xf>
    <xf numFmtId="44" fontId="7" fillId="0" borderId="17" xfId="1" applyFont="1" applyBorder="1" applyAlignment="1">
      <alignment horizontal="right" vertical="center"/>
    </xf>
    <xf numFmtId="0" fontId="5" fillId="0" borderId="20"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164" fontId="5" fillId="0" borderId="0" xfId="0" applyNumberFormat="1" applyFont="1" applyAlignment="1">
      <alignment horizontal="right" vertical="center"/>
    </xf>
    <xf numFmtId="44" fontId="5" fillId="0" borderId="0" xfId="1" applyFont="1" applyBorder="1" applyAlignment="1">
      <alignment horizontal="right" vertical="center"/>
    </xf>
    <xf numFmtId="44" fontId="7" fillId="0" borderId="0" xfId="1" applyFont="1" applyBorder="1" applyAlignment="1">
      <alignment horizontal="right" vertical="center"/>
    </xf>
    <xf numFmtId="0" fontId="4" fillId="5" borderId="9" xfId="0" applyFont="1" applyFill="1" applyBorder="1" applyAlignment="1">
      <alignment horizontal="center" vertical="center"/>
    </xf>
    <xf numFmtId="0" fontId="4" fillId="5" borderId="9" xfId="0" applyFont="1" applyFill="1" applyBorder="1" applyAlignment="1">
      <alignment horizontal="center" vertical="center" wrapText="1"/>
    </xf>
    <xf numFmtId="164" fontId="4" fillId="5" borderId="9" xfId="0" applyNumberFormat="1" applyFont="1" applyFill="1" applyBorder="1" applyAlignment="1">
      <alignment horizontal="center" vertical="center"/>
    </xf>
    <xf numFmtId="165" fontId="4" fillId="5" borderId="9" xfId="0" applyNumberFormat="1" applyFont="1" applyFill="1" applyBorder="1" applyAlignment="1">
      <alignment horizontal="center" vertical="center"/>
    </xf>
    <xf numFmtId="44" fontId="4" fillId="0" borderId="11" xfId="1" applyFont="1" applyBorder="1" applyAlignment="1">
      <alignment horizontal="right" vertical="center"/>
    </xf>
    <xf numFmtId="0" fontId="8" fillId="0" borderId="0" xfId="0" applyFont="1" applyAlignment="1">
      <alignment vertical="center"/>
    </xf>
    <xf numFmtId="0" fontId="4" fillId="0" borderId="0" xfId="0" applyFont="1" applyAlignment="1">
      <alignment horizontal="left" vertical="center" wrapText="1"/>
    </xf>
    <xf numFmtId="0" fontId="5" fillId="0" borderId="4" xfId="0" applyFont="1" applyBorder="1" applyAlignment="1">
      <alignment horizontal="center" vertical="center"/>
    </xf>
    <xf numFmtId="164" fontId="5" fillId="0" borderId="4" xfId="0" applyNumberFormat="1" applyFont="1" applyBorder="1" applyAlignment="1">
      <alignment horizontal="right" vertical="center"/>
    </xf>
    <xf numFmtId="44" fontId="5" fillId="0" borderId="4" xfId="1" applyFont="1" applyBorder="1" applyAlignment="1">
      <alignment horizontal="right" vertical="center"/>
    </xf>
    <xf numFmtId="0" fontId="0" fillId="0" borderId="4" xfId="0" applyBorder="1"/>
    <xf numFmtId="0" fontId="4" fillId="0" borderId="2" xfId="0" applyFont="1" applyBorder="1" applyAlignment="1">
      <alignment horizontal="right" vertical="center" wrapText="1"/>
    </xf>
    <xf numFmtId="0" fontId="5" fillId="0" borderId="0" xfId="0" applyFont="1"/>
    <xf numFmtId="0" fontId="4" fillId="0" borderId="0" xfId="0" applyFont="1" applyAlignment="1">
      <alignment horizontal="left" vertical="center"/>
    </xf>
    <xf numFmtId="165" fontId="5" fillId="0" borderId="0" xfId="0" applyNumberFormat="1" applyFont="1" applyAlignment="1">
      <alignment horizontal="right" vertical="center"/>
    </xf>
    <xf numFmtId="44" fontId="5" fillId="0" borderId="0" xfId="1" applyFont="1" applyAlignment="1">
      <alignment horizontal="right" vertical="center"/>
    </xf>
    <xf numFmtId="0" fontId="5" fillId="0" borderId="0" xfId="0" applyFont="1" applyAlignment="1">
      <alignment vertical="center"/>
    </xf>
    <xf numFmtId="0" fontId="5" fillId="0" borderId="0" xfId="0" applyFont="1" applyAlignment="1">
      <alignment horizontal="left" vertical="center"/>
    </xf>
    <xf numFmtId="44" fontId="0" fillId="0" borderId="0" xfId="1" applyFont="1" applyAlignment="1">
      <alignment vertical="center"/>
    </xf>
    <xf numFmtId="44" fontId="5" fillId="0" borderId="0" xfId="0" applyNumberFormat="1" applyFont="1" applyAlignment="1">
      <alignment vertical="center"/>
    </xf>
    <xf numFmtId="44" fontId="5" fillId="0" borderId="0" xfId="1" applyFont="1" applyAlignment="1">
      <alignment vertical="center"/>
    </xf>
    <xf numFmtId="0" fontId="5" fillId="0" borderId="1" xfId="0" applyFont="1" applyBorder="1" applyAlignment="1">
      <alignment vertical="center"/>
    </xf>
    <xf numFmtId="44" fontId="4" fillId="0" borderId="1" xfId="1" applyFont="1" applyBorder="1" applyAlignment="1">
      <alignment vertical="center"/>
    </xf>
    <xf numFmtId="0" fontId="4" fillId="0" borderId="1" xfId="0" applyFont="1" applyBorder="1" applyAlignment="1">
      <alignment vertical="center"/>
    </xf>
    <xf numFmtId="0" fontId="5" fillId="0" borderId="9" xfId="0" applyFont="1" applyBorder="1" applyAlignment="1">
      <alignment vertical="center"/>
    </xf>
    <xf numFmtId="44" fontId="5" fillId="0" borderId="0" xfId="1" applyFont="1" applyBorder="1" applyAlignment="1">
      <alignment vertical="center"/>
    </xf>
    <xf numFmtId="0" fontId="5" fillId="0" borderId="11" xfId="0" applyFont="1" applyBorder="1" applyAlignment="1">
      <alignment vertical="center"/>
    </xf>
    <xf numFmtId="44" fontId="4" fillId="0" borderId="11" xfId="1" applyFont="1" applyBorder="1" applyAlignment="1">
      <alignment vertical="center"/>
    </xf>
    <xf numFmtId="10" fontId="4" fillId="0" borderId="13" xfId="2" applyNumberFormat="1" applyFont="1" applyBorder="1" applyAlignment="1">
      <alignment vertical="center"/>
    </xf>
    <xf numFmtId="0" fontId="4" fillId="0" borderId="15" xfId="0" applyFont="1" applyBorder="1" applyAlignment="1">
      <alignment vertical="center"/>
    </xf>
    <xf numFmtId="10" fontId="4" fillId="0" borderId="15" xfId="2" applyNumberFormat="1" applyFont="1" applyBorder="1" applyAlignment="1">
      <alignment vertical="center"/>
    </xf>
    <xf numFmtId="0" fontId="5" fillId="0" borderId="17" xfId="0" applyFont="1" applyBorder="1" applyAlignment="1">
      <alignment vertical="center"/>
    </xf>
    <xf numFmtId="44" fontId="4" fillId="0" borderId="17" xfId="1" applyFont="1" applyBorder="1" applyAlignment="1">
      <alignment vertical="center"/>
    </xf>
    <xf numFmtId="0" fontId="4" fillId="0" borderId="19" xfId="0" applyFont="1" applyBorder="1" applyAlignment="1">
      <alignment vertical="center"/>
    </xf>
    <xf numFmtId="44" fontId="5" fillId="0" borderId="0" xfId="1" applyFont="1" applyAlignment="1">
      <alignment horizontal="center" vertical="center"/>
    </xf>
    <xf numFmtId="44" fontId="5" fillId="0" borderId="1" xfId="1" applyFont="1" applyBorder="1" applyAlignment="1">
      <alignment vertical="center"/>
    </xf>
    <xf numFmtId="44" fontId="4" fillId="0" borderId="11" xfId="1" applyFont="1" applyBorder="1" applyAlignment="1">
      <alignment horizontal="center" vertical="center"/>
    </xf>
    <xf numFmtId="9" fontId="4" fillId="0" borderId="13" xfId="0" applyNumberFormat="1" applyFont="1" applyBorder="1" applyAlignment="1">
      <alignment horizontal="center" vertical="center"/>
    </xf>
    <xf numFmtId="0" fontId="5" fillId="0" borderId="16" xfId="0" applyFont="1" applyBorder="1" applyAlignment="1">
      <alignment horizontal="left" vertical="center"/>
    </xf>
    <xf numFmtId="0" fontId="4" fillId="0" borderId="17" xfId="0" applyFont="1" applyBorder="1" applyAlignment="1">
      <alignment horizontal="left" vertical="center" wrapText="1"/>
    </xf>
    <xf numFmtId="44" fontId="5" fillId="0" borderId="17" xfId="1" applyFont="1" applyBorder="1" applyAlignment="1">
      <alignment vertical="center"/>
    </xf>
    <xf numFmtId="164" fontId="5" fillId="0" borderId="0" xfId="0" applyNumberFormat="1" applyFont="1" applyAlignment="1">
      <alignment horizontal="center" vertical="center"/>
    </xf>
    <xf numFmtId="166" fontId="5" fillId="0" borderId="11" xfId="0" applyNumberFormat="1" applyFont="1" applyBorder="1" applyAlignment="1">
      <alignment horizontal="center" vertical="center"/>
    </xf>
    <xf numFmtId="166" fontId="5" fillId="0" borderId="1" xfId="0" applyNumberFormat="1" applyFont="1" applyBorder="1" applyAlignment="1">
      <alignment horizontal="center" vertical="center"/>
    </xf>
    <xf numFmtId="166" fontId="5" fillId="0" borderId="17" xfId="0" applyNumberFormat="1" applyFont="1" applyBorder="1" applyAlignment="1">
      <alignment horizontal="center" vertical="center"/>
    </xf>
    <xf numFmtId="166" fontId="5" fillId="0" borderId="0" xfId="0" applyNumberFormat="1" applyFont="1" applyAlignment="1">
      <alignment horizontal="center" vertical="center"/>
    </xf>
    <xf numFmtId="44" fontId="10" fillId="0" borderId="0" xfId="1" applyFont="1" applyAlignment="1">
      <alignment horizontal="right" vertical="center"/>
    </xf>
    <xf numFmtId="44" fontId="11" fillId="5" borderId="9" xfId="1" applyFont="1" applyFill="1" applyBorder="1" applyAlignment="1">
      <alignment horizontal="center" vertical="center"/>
    </xf>
    <xf numFmtId="44" fontId="10" fillId="0" borderId="11" xfId="1" applyFont="1" applyBorder="1" applyAlignment="1">
      <alignment horizontal="right" vertical="center"/>
    </xf>
    <xf numFmtId="44" fontId="10" fillId="0" borderId="1" xfId="1" applyFont="1" applyBorder="1" applyAlignment="1">
      <alignment horizontal="right" vertical="center"/>
    </xf>
    <xf numFmtId="44" fontId="10" fillId="0" borderId="17" xfId="1" applyFont="1" applyBorder="1" applyAlignment="1">
      <alignment horizontal="right" vertical="center"/>
    </xf>
    <xf numFmtId="44" fontId="10" fillId="0" borderId="0" xfId="1" applyFont="1" applyBorder="1" applyAlignment="1">
      <alignment horizontal="right" vertical="center"/>
    </xf>
    <xf numFmtId="0" fontId="4" fillId="0" borderId="1" xfId="0" applyFont="1" applyBorder="1" applyAlignment="1">
      <alignment horizontal="right" vertical="center" wrapText="1"/>
    </xf>
    <xf numFmtId="164" fontId="5" fillId="0" borderId="1" xfId="0" applyNumberFormat="1" applyFont="1" applyBorder="1" applyAlignment="1">
      <alignment horizontal="center" vertical="center"/>
    </xf>
    <xf numFmtId="0" fontId="0" fillId="0" borderId="1" xfId="0" applyBorder="1" applyAlignment="1">
      <alignment horizontal="center"/>
    </xf>
    <xf numFmtId="0" fontId="12" fillId="0" borderId="1" xfId="0" applyFont="1" applyBorder="1"/>
    <xf numFmtId="165" fontId="10" fillId="0" borderId="0" xfId="0" applyNumberFormat="1" applyFont="1" applyAlignment="1">
      <alignment horizontal="right" vertical="center"/>
    </xf>
    <xf numFmtId="0" fontId="10" fillId="0" borderId="0" xfId="0" applyFont="1" applyAlignment="1">
      <alignment vertical="center"/>
    </xf>
    <xf numFmtId="165" fontId="11" fillId="5" borderId="9" xfId="0" applyNumberFormat="1" applyFont="1" applyFill="1" applyBorder="1" applyAlignment="1">
      <alignment horizontal="center" vertical="center"/>
    </xf>
    <xf numFmtId="44" fontId="11" fillId="0" borderId="11" xfId="1" applyFont="1" applyBorder="1" applyAlignment="1">
      <alignment horizontal="right" vertical="center"/>
    </xf>
    <xf numFmtId="0" fontId="10" fillId="0" borderId="11" xfId="0" applyFont="1" applyBorder="1" applyAlignment="1">
      <alignment vertical="center"/>
    </xf>
    <xf numFmtId="44" fontId="11" fillId="0" borderId="11" xfId="1" applyFont="1" applyBorder="1" applyAlignment="1">
      <alignment vertical="center"/>
    </xf>
    <xf numFmtId="10" fontId="11" fillId="0" borderId="13" xfId="2" applyNumberFormat="1" applyFont="1" applyBorder="1" applyAlignment="1">
      <alignment vertical="center"/>
    </xf>
    <xf numFmtId="44" fontId="11" fillId="0" borderId="1" xfId="1" applyFont="1" applyBorder="1" applyAlignment="1">
      <alignment horizontal="right" vertical="center"/>
    </xf>
    <xf numFmtId="44" fontId="11" fillId="0" borderId="1" xfId="0" applyNumberFormat="1" applyFont="1" applyBorder="1" applyAlignment="1">
      <alignment vertical="center"/>
    </xf>
    <xf numFmtId="0" fontId="10" fillId="0" borderId="1" xfId="0" applyFont="1" applyBorder="1" applyAlignment="1">
      <alignment vertical="center"/>
    </xf>
    <xf numFmtId="44" fontId="11" fillId="0" borderId="1" xfId="1" applyFont="1" applyBorder="1" applyAlignment="1">
      <alignment vertical="center"/>
    </xf>
    <xf numFmtId="0" fontId="11" fillId="0" borderId="15" xfId="0" applyFont="1" applyBorder="1" applyAlignment="1">
      <alignment vertical="center"/>
    </xf>
    <xf numFmtId="0" fontId="11" fillId="0" borderId="1" xfId="0" applyFont="1" applyBorder="1" applyAlignment="1">
      <alignment vertical="center"/>
    </xf>
    <xf numFmtId="10" fontId="11" fillId="0" borderId="15" xfId="2" applyNumberFormat="1" applyFont="1" applyBorder="1" applyAlignment="1">
      <alignment vertical="center"/>
    </xf>
    <xf numFmtId="0" fontId="10" fillId="0" borderId="17" xfId="0" applyFont="1" applyBorder="1" applyAlignment="1">
      <alignment vertical="center"/>
    </xf>
    <xf numFmtId="44" fontId="11" fillId="0" borderId="17" xfId="1" applyFont="1" applyBorder="1" applyAlignment="1">
      <alignment vertical="center"/>
    </xf>
    <xf numFmtId="0" fontId="11" fillId="0" borderId="19" xfId="0" applyFont="1" applyBorder="1" applyAlignment="1">
      <alignment vertical="center"/>
    </xf>
    <xf numFmtId="44" fontId="10" fillId="0" borderId="0" xfId="1" applyFont="1" applyBorder="1" applyAlignment="1">
      <alignment vertical="center"/>
    </xf>
    <xf numFmtId="44" fontId="11" fillId="0" borderId="11" xfId="1" applyFont="1" applyBorder="1" applyAlignment="1">
      <alignment horizontal="center" vertical="center"/>
    </xf>
    <xf numFmtId="9" fontId="11" fillId="0" borderId="13" xfId="0" applyNumberFormat="1" applyFont="1" applyBorder="1" applyAlignment="1">
      <alignment horizontal="center" vertical="center"/>
    </xf>
    <xf numFmtId="44" fontId="10" fillId="0" borderId="1" xfId="1" applyFont="1" applyBorder="1" applyAlignment="1">
      <alignment vertical="center"/>
    </xf>
    <xf numFmtId="0" fontId="10" fillId="0" borderId="15" xfId="0" applyFont="1" applyBorder="1" applyAlignment="1">
      <alignment vertical="center"/>
    </xf>
    <xf numFmtId="44" fontId="10" fillId="0" borderId="17" xfId="1" applyFont="1" applyBorder="1" applyAlignment="1">
      <alignment vertical="center"/>
    </xf>
    <xf numFmtId="0" fontId="10" fillId="0" borderId="19" xfId="0" applyFont="1" applyBorder="1" applyAlignment="1">
      <alignment vertical="center"/>
    </xf>
    <xf numFmtId="44" fontId="11" fillId="0" borderId="1" xfId="1" applyFont="1" applyBorder="1" applyAlignment="1">
      <alignment horizontal="center" vertical="center"/>
    </xf>
    <xf numFmtId="9" fontId="11" fillId="0" borderId="1" xfId="1" applyNumberFormat="1" applyFont="1" applyBorder="1" applyAlignment="1">
      <alignment vertical="center"/>
    </xf>
    <xf numFmtId="44" fontId="10" fillId="0" borderId="0" xfId="1" applyFont="1" applyAlignment="1">
      <alignment horizontal="right"/>
    </xf>
    <xf numFmtId="165" fontId="10" fillId="0" borderId="0" xfId="0" applyNumberFormat="1" applyFont="1" applyAlignment="1">
      <alignment horizontal="right"/>
    </xf>
    <xf numFmtId="0" fontId="12" fillId="0" borderId="12" xfId="0" applyFont="1" applyBorder="1" applyAlignment="1">
      <alignment vertical="center"/>
    </xf>
    <xf numFmtId="10" fontId="11" fillId="0" borderId="13" xfId="2" applyNumberFormat="1" applyFont="1" applyBorder="1" applyAlignment="1">
      <alignment horizontal="right" vertical="center"/>
    </xf>
    <xf numFmtId="0" fontId="12" fillId="0" borderId="1" xfId="0" applyFont="1" applyBorder="1" applyAlignment="1">
      <alignment vertical="center"/>
    </xf>
    <xf numFmtId="165" fontId="11" fillId="0" borderId="15" xfId="0" applyNumberFormat="1" applyFont="1" applyBorder="1" applyAlignment="1">
      <alignment horizontal="right" vertical="center"/>
    </xf>
    <xf numFmtId="165" fontId="10" fillId="0" borderId="15" xfId="0" applyNumberFormat="1" applyFont="1" applyBorder="1" applyAlignment="1">
      <alignment horizontal="right" vertical="center"/>
    </xf>
    <xf numFmtId="0" fontId="12" fillId="0" borderId="0" xfId="0" applyFont="1" applyAlignment="1">
      <alignment vertical="center"/>
    </xf>
    <xf numFmtId="10" fontId="11" fillId="0" borderId="15" xfId="2" applyNumberFormat="1" applyFont="1" applyBorder="1" applyAlignment="1">
      <alignment horizontal="right" vertical="center"/>
    </xf>
    <xf numFmtId="165" fontId="10" fillId="0" borderId="19" xfId="0" applyNumberFormat="1" applyFont="1" applyBorder="1" applyAlignment="1">
      <alignment horizontal="right" vertical="center"/>
    </xf>
    <xf numFmtId="9" fontId="11" fillId="0" borderId="13" xfId="2" applyFont="1" applyBorder="1" applyAlignment="1">
      <alignment horizontal="right" vertical="center"/>
    </xf>
    <xf numFmtId="44" fontId="12" fillId="0" borderId="0" xfId="1" applyFont="1"/>
    <xf numFmtId="0" fontId="12" fillId="0" borderId="0" xfId="0" applyFont="1"/>
    <xf numFmtId="165" fontId="11" fillId="0" borderId="9" xfId="0" applyNumberFormat="1" applyFont="1" applyBorder="1" applyAlignment="1">
      <alignment horizontal="center" vertical="center"/>
    </xf>
    <xf numFmtId="44" fontId="5" fillId="0" borderId="0" xfId="1" applyFont="1"/>
    <xf numFmtId="44" fontId="4" fillId="0" borderId="1" xfId="0" applyNumberFormat="1" applyFont="1" applyBorder="1" applyAlignment="1">
      <alignment vertical="center"/>
    </xf>
    <xf numFmtId="0" fontId="0" fillId="0" borderId="1" xfId="0" applyBorder="1" applyAlignment="1">
      <alignment horizontal="center" vertical="center"/>
    </xf>
    <xf numFmtId="10" fontId="4" fillId="0" borderId="1" xfId="2" applyNumberFormat="1" applyFont="1" applyBorder="1" applyAlignment="1">
      <alignment horizontal="center" vertical="center"/>
    </xf>
    <xf numFmtId="10" fontId="9" fillId="0" borderId="1" xfId="2" applyNumberFormat="1" applyFont="1" applyBorder="1" applyAlignment="1">
      <alignment horizontal="center" vertical="center"/>
    </xf>
    <xf numFmtId="165" fontId="10" fillId="0" borderId="0" xfId="0" applyNumberFormat="1" applyFont="1" applyAlignment="1">
      <alignment horizontal="center" vertical="center"/>
    </xf>
    <xf numFmtId="165" fontId="11" fillId="0" borderId="11" xfId="0" applyNumberFormat="1" applyFont="1" applyBorder="1" applyAlignment="1">
      <alignment horizontal="center" vertical="center"/>
    </xf>
    <xf numFmtId="10" fontId="11" fillId="0" borderId="1" xfId="2" applyNumberFormat="1" applyFont="1" applyBorder="1" applyAlignment="1">
      <alignment horizontal="center" vertical="center"/>
    </xf>
    <xf numFmtId="10" fontId="10" fillId="0" borderId="1" xfId="2" applyNumberFormat="1" applyFont="1" applyBorder="1" applyAlignment="1">
      <alignment horizontal="center" vertical="center"/>
    </xf>
    <xf numFmtId="10" fontId="9" fillId="0" borderId="17" xfId="2" applyNumberFormat="1" applyFont="1" applyBorder="1" applyAlignment="1">
      <alignment horizontal="center" vertical="center"/>
    </xf>
    <xf numFmtId="0" fontId="4" fillId="0" borderId="1" xfId="0" applyFont="1" applyBorder="1" applyAlignment="1">
      <alignment horizontal="center" vertical="center"/>
    </xf>
    <xf numFmtId="44" fontId="10" fillId="0" borderId="9" xfId="1" applyFont="1" applyBorder="1" applyAlignment="1">
      <alignment horizontal="right" vertical="center"/>
    </xf>
    <xf numFmtId="10" fontId="9" fillId="0" borderId="9" xfId="2" applyNumberFormat="1" applyFont="1" applyBorder="1" applyAlignment="1">
      <alignment horizontal="center" vertical="center"/>
    </xf>
    <xf numFmtId="44" fontId="5" fillId="0" borderId="9" xfId="1" applyFont="1" applyBorder="1" applyAlignment="1">
      <alignment vertical="center"/>
    </xf>
    <xf numFmtId="0" fontId="5" fillId="0" borderId="12" xfId="0" applyFont="1" applyBorder="1" applyAlignment="1">
      <alignment vertical="center"/>
    </xf>
    <xf numFmtId="0" fontId="5" fillId="0" borderId="18" xfId="0" applyFont="1" applyBorder="1" applyAlignment="1">
      <alignment vertical="center"/>
    </xf>
    <xf numFmtId="9" fontId="4" fillId="0" borderId="13" xfId="2" applyFont="1" applyBorder="1" applyAlignment="1">
      <alignment vertical="center"/>
    </xf>
    <xf numFmtId="44" fontId="11" fillId="0" borderId="0" xfId="1" applyFont="1" applyBorder="1" applyAlignment="1">
      <alignment horizontal="right" vertical="center"/>
    </xf>
    <xf numFmtId="10" fontId="4" fillId="0" borderId="13" xfId="2" applyNumberFormat="1" applyFont="1" applyBorder="1" applyAlignment="1">
      <alignment horizontal="center" vertical="center"/>
    </xf>
    <xf numFmtId="0" fontId="5" fillId="0" borderId="15" xfId="0" applyFont="1" applyBorder="1" applyAlignment="1">
      <alignment horizontal="center" vertical="center"/>
    </xf>
    <xf numFmtId="0" fontId="5" fillId="0" borderId="19" xfId="0" applyFont="1" applyBorder="1" applyAlignment="1">
      <alignment horizontal="center" vertical="center"/>
    </xf>
    <xf numFmtId="9" fontId="11" fillId="0" borderId="1" xfId="1" applyNumberFormat="1" applyFont="1" applyBorder="1" applyAlignment="1">
      <alignment horizontal="center" vertical="center"/>
    </xf>
    <xf numFmtId="2" fontId="5" fillId="0" borderId="1" xfId="0" applyNumberFormat="1" applyFont="1" applyBorder="1" applyAlignment="1">
      <alignment horizontal="center" vertical="center"/>
    </xf>
    <xf numFmtId="2" fontId="5" fillId="0" borderId="9" xfId="0" applyNumberFormat="1" applyFont="1" applyBorder="1" applyAlignment="1">
      <alignment horizontal="center" vertical="center"/>
    </xf>
    <xf numFmtId="2" fontId="5" fillId="0" borderId="0" xfId="0" applyNumberFormat="1" applyFont="1" applyAlignment="1">
      <alignment horizontal="center" vertical="center"/>
    </xf>
    <xf numFmtId="164" fontId="5" fillId="0" borderId="11" xfId="0" applyNumberFormat="1" applyFont="1" applyBorder="1" applyAlignment="1">
      <alignment horizontal="center" vertical="center"/>
    </xf>
    <xf numFmtId="2" fontId="5" fillId="0" borderId="17" xfId="0" applyNumberFormat="1" applyFont="1" applyBorder="1" applyAlignment="1">
      <alignment horizontal="center" vertical="center"/>
    </xf>
    <xf numFmtId="10" fontId="4" fillId="0" borderId="15" xfId="2" applyNumberFormat="1" applyFont="1" applyBorder="1" applyAlignment="1">
      <alignment horizontal="center" vertical="center"/>
    </xf>
    <xf numFmtId="0" fontId="10" fillId="0" borderId="0" xfId="0" applyFont="1"/>
    <xf numFmtId="44" fontId="5" fillId="0" borderId="0" xfId="1" applyFont="1" applyBorder="1"/>
    <xf numFmtId="2" fontId="5" fillId="0" borderId="11" xfId="0" applyNumberFormat="1" applyFont="1" applyBorder="1" applyAlignment="1">
      <alignment horizontal="center" vertical="center"/>
    </xf>
    <xf numFmtId="9" fontId="4" fillId="0" borderId="15" xfId="2" applyFont="1" applyBorder="1" applyAlignment="1">
      <alignment horizontal="center" vertical="center"/>
    </xf>
    <xf numFmtId="10" fontId="4" fillId="0" borderId="17" xfId="2" applyNumberFormat="1" applyFont="1" applyBorder="1" applyAlignment="1">
      <alignment horizontal="center" vertical="center"/>
    </xf>
    <xf numFmtId="44" fontId="10" fillId="0" borderId="1" xfId="1" applyFont="1" applyBorder="1" applyAlignment="1">
      <alignment horizontal="center" vertical="center"/>
    </xf>
    <xf numFmtId="44" fontId="10" fillId="0" borderId="0" xfId="1" applyFont="1" applyBorder="1" applyAlignment="1">
      <alignment horizontal="center" vertical="center"/>
    </xf>
    <xf numFmtId="9" fontId="5" fillId="0" borderId="0" xfId="2" applyFont="1" applyBorder="1" applyAlignment="1">
      <alignment horizontal="center" vertical="center"/>
    </xf>
    <xf numFmtId="44" fontId="4" fillId="5" borderId="9" xfId="1" applyFont="1" applyFill="1" applyBorder="1" applyAlignment="1">
      <alignment horizontal="center" vertical="center"/>
    </xf>
    <xf numFmtId="9" fontId="4" fillId="0" borderId="13" xfId="2" applyFont="1" applyBorder="1" applyAlignment="1">
      <alignment horizontal="center" vertical="center"/>
    </xf>
    <xf numFmtId="9" fontId="5" fillId="0" borderId="15" xfId="2" applyFont="1" applyBorder="1" applyAlignment="1">
      <alignment horizontal="center" vertical="center"/>
    </xf>
    <xf numFmtId="44" fontId="10" fillId="0" borderId="17" xfId="1" applyFont="1" applyBorder="1" applyAlignment="1">
      <alignment horizontal="center" vertical="center"/>
    </xf>
    <xf numFmtId="9" fontId="5" fillId="0" borderId="19" xfId="2" applyFont="1" applyBorder="1" applyAlignment="1">
      <alignment horizontal="center" vertical="center"/>
    </xf>
    <xf numFmtId="9" fontId="5" fillId="0" borderId="13" xfId="2" applyFont="1" applyBorder="1" applyAlignment="1">
      <alignment horizontal="center" vertical="center"/>
    </xf>
    <xf numFmtId="44" fontId="4" fillId="0" borderId="11" xfId="0" applyNumberFormat="1" applyFont="1" applyBorder="1" applyAlignment="1">
      <alignment vertical="center"/>
    </xf>
    <xf numFmtId="0" fontId="5" fillId="0" borderId="22" xfId="0" applyFont="1" applyBorder="1" applyAlignment="1">
      <alignment vertical="center"/>
    </xf>
    <xf numFmtId="44" fontId="11" fillId="0" borderId="17" xfId="1" applyFont="1" applyBorder="1" applyAlignment="1">
      <alignment horizontal="right" vertical="center"/>
    </xf>
    <xf numFmtId="0" fontId="5" fillId="0" borderId="22" xfId="0" applyFont="1" applyBorder="1" applyAlignment="1">
      <alignment horizontal="center" vertical="center"/>
    </xf>
    <xf numFmtId="0" fontId="10" fillId="0" borderId="0" xfId="0" applyFont="1" applyAlignment="1">
      <alignment horizontal="center" vertical="center"/>
    </xf>
    <xf numFmtId="44" fontId="4" fillId="0" borderId="1" xfId="0" applyNumberFormat="1"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44" fontId="4" fillId="0" borderId="0" xfId="1" applyFont="1" applyBorder="1" applyAlignment="1">
      <alignment vertical="center"/>
    </xf>
    <xf numFmtId="0" fontId="4" fillId="0" borderId="11" xfId="0" applyFont="1" applyBorder="1" applyAlignment="1">
      <alignment horizontal="center" vertical="center"/>
    </xf>
    <xf numFmtId="0" fontId="4" fillId="0" borderId="15" xfId="0" applyFont="1" applyBorder="1" applyAlignment="1">
      <alignment horizontal="center" vertical="center"/>
    </xf>
    <xf numFmtId="44" fontId="11" fillId="0" borderId="17" xfId="1" applyFont="1" applyBorder="1" applyAlignment="1">
      <alignment horizontal="center" vertical="center"/>
    </xf>
    <xf numFmtId="0" fontId="4" fillId="0" borderId="17" xfId="0" applyFont="1" applyBorder="1" applyAlignment="1">
      <alignment horizontal="center" vertical="center"/>
    </xf>
    <xf numFmtId="44" fontId="4" fillId="0" borderId="17" xfId="1" applyFont="1" applyBorder="1" applyAlignment="1">
      <alignment horizontal="center" vertical="center"/>
    </xf>
    <xf numFmtId="0" fontId="4" fillId="0" borderId="19" xfId="0" applyFont="1" applyBorder="1" applyAlignment="1">
      <alignment horizontal="center" vertical="center"/>
    </xf>
    <xf numFmtId="0" fontId="4" fillId="5" borderId="9" xfId="0" applyFont="1" applyFill="1" applyBorder="1" applyAlignment="1">
      <alignment horizontal="center"/>
    </xf>
    <xf numFmtId="0" fontId="4" fillId="5" borderId="9" xfId="0" applyFont="1" applyFill="1" applyBorder="1" applyAlignment="1">
      <alignment horizontal="center" wrapText="1"/>
    </xf>
    <xf numFmtId="164" fontId="4" fillId="5" borderId="9" xfId="0" applyNumberFormat="1" applyFont="1" applyFill="1" applyBorder="1" applyAlignment="1">
      <alignment horizontal="center"/>
    </xf>
    <xf numFmtId="44" fontId="4" fillId="5" borderId="9" xfId="1" applyFont="1" applyFill="1" applyBorder="1" applyAlignment="1">
      <alignment horizontal="center"/>
    </xf>
    <xf numFmtId="0" fontId="4" fillId="0" borderId="17" xfId="0" applyFont="1" applyBorder="1" applyAlignment="1">
      <alignment vertical="center"/>
    </xf>
    <xf numFmtId="0" fontId="4" fillId="0" borderId="11" xfId="0" applyFont="1" applyBorder="1" applyAlignment="1">
      <alignment vertical="center"/>
    </xf>
    <xf numFmtId="44" fontId="5" fillId="0" borderId="1" xfId="1" applyFont="1" applyBorder="1" applyAlignment="1">
      <alignment horizontal="center" vertical="center"/>
    </xf>
    <xf numFmtId="44" fontId="5" fillId="0" borderId="0" xfId="1" applyFont="1" applyBorder="1" applyAlignment="1">
      <alignment horizontal="center" vertical="center"/>
    </xf>
    <xf numFmtId="44" fontId="5" fillId="0" borderId="11" xfId="1" applyFont="1" applyBorder="1" applyAlignment="1">
      <alignment horizontal="center" vertical="center"/>
    </xf>
    <xf numFmtId="44" fontId="5" fillId="0" borderId="17" xfId="1" applyFont="1" applyBorder="1" applyAlignment="1">
      <alignment horizontal="center" vertical="center"/>
    </xf>
    <xf numFmtId="2" fontId="5" fillId="0" borderId="1" xfId="0" applyNumberFormat="1" applyFont="1" applyBorder="1" applyAlignment="1">
      <alignment horizontal="right" vertical="center"/>
    </xf>
    <xf numFmtId="2" fontId="5" fillId="0" borderId="0" xfId="0" applyNumberFormat="1" applyFont="1" applyAlignment="1">
      <alignment horizontal="right" vertical="center"/>
    </xf>
    <xf numFmtId="2" fontId="5" fillId="0" borderId="11" xfId="0" applyNumberFormat="1" applyFont="1" applyBorder="1" applyAlignment="1">
      <alignment horizontal="right" vertical="center"/>
    </xf>
    <xf numFmtId="2" fontId="5" fillId="0" borderId="17" xfId="0" applyNumberFormat="1" applyFont="1" applyBorder="1" applyAlignment="1">
      <alignment horizontal="right" vertical="center"/>
    </xf>
    <xf numFmtId="0" fontId="14" fillId="0" borderId="0" xfId="0" applyFont="1" applyAlignment="1">
      <alignment vertical="center"/>
    </xf>
    <xf numFmtId="0" fontId="3" fillId="4" borderId="1" xfId="0" applyFont="1" applyFill="1" applyBorder="1" applyAlignment="1">
      <alignment horizontal="center" vertical="center" wrapText="1"/>
    </xf>
    <xf numFmtId="0" fontId="11" fillId="0" borderId="17" xfId="0" applyFont="1" applyBorder="1" applyAlignment="1">
      <alignment vertical="center"/>
    </xf>
    <xf numFmtId="0" fontId="5" fillId="0" borderId="21" xfId="0" applyFont="1" applyBorder="1" applyAlignment="1">
      <alignment horizontal="center" vertical="center"/>
    </xf>
    <xf numFmtId="0" fontId="11" fillId="0" borderId="1" xfId="0" applyFont="1" applyBorder="1" applyAlignment="1">
      <alignment horizontal="left" vertical="center" wrapText="1"/>
    </xf>
    <xf numFmtId="0" fontId="4" fillId="0" borderId="23" xfId="0" applyFont="1" applyBorder="1" applyAlignment="1">
      <alignment horizontal="left" vertical="center" wrapText="1"/>
    </xf>
    <xf numFmtId="0" fontId="4" fillId="0" borderId="24" xfId="0" applyFont="1" applyBorder="1" applyAlignment="1">
      <alignment horizontal="left" vertical="center" wrapText="1"/>
    </xf>
    <xf numFmtId="0" fontId="5" fillId="0" borderId="24" xfId="0" applyFont="1" applyBorder="1" applyAlignment="1">
      <alignment horizontal="center" vertical="center"/>
    </xf>
    <xf numFmtId="2" fontId="5" fillId="0" borderId="24" xfId="0" applyNumberFormat="1" applyFont="1" applyBorder="1" applyAlignment="1">
      <alignment horizontal="center" vertical="center"/>
    </xf>
    <xf numFmtId="44" fontId="5" fillId="0" borderId="24" xfId="1" applyFont="1" applyBorder="1" applyAlignment="1">
      <alignment horizontal="center" vertical="center"/>
    </xf>
    <xf numFmtId="44" fontId="11" fillId="0" borderId="24" xfId="1" applyFont="1" applyBorder="1" applyAlignment="1">
      <alignment horizontal="center"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2" fillId="0" borderId="0" xfId="0" applyFont="1" applyAlignment="1">
      <alignment horizontal="center"/>
    </xf>
    <xf numFmtId="0" fontId="2" fillId="0" borderId="0" xfId="0" applyFont="1"/>
    <xf numFmtId="0" fontId="0" fillId="6" borderId="0" xfId="0" applyFill="1" applyAlignment="1">
      <alignment horizontal="center"/>
    </xf>
    <xf numFmtId="0" fontId="2" fillId="0" borderId="1" xfId="0" applyFont="1" applyBorder="1" applyAlignment="1">
      <alignment horizontal="center"/>
    </xf>
    <xf numFmtId="44" fontId="2" fillId="0" borderId="1" xfId="0" applyNumberFormat="1" applyFont="1" applyBorder="1" applyAlignment="1">
      <alignment horizontal="center"/>
    </xf>
    <xf numFmtId="44" fontId="0" fillId="0" borderId="1" xfId="0" applyNumberFormat="1" applyBorder="1" applyAlignment="1">
      <alignment horizontal="center"/>
    </xf>
    <xf numFmtId="44" fontId="2" fillId="6" borderId="1" xfId="0" applyNumberFormat="1" applyFont="1" applyFill="1" applyBorder="1" applyAlignment="1">
      <alignment horizontal="center"/>
    </xf>
    <xf numFmtId="44" fontId="0" fillId="0" borderId="1" xfId="1" applyFont="1" applyBorder="1" applyAlignment="1">
      <alignment horizontal="center"/>
    </xf>
    <xf numFmtId="44" fontId="0" fillId="0" borderId="1" xfId="1" applyFont="1" applyFill="1" applyBorder="1" applyAlignment="1">
      <alignment horizontal="center"/>
    </xf>
    <xf numFmtId="44" fontId="0" fillId="0" borderId="1" xfId="1" applyFont="1" applyBorder="1"/>
    <xf numFmtId="44" fontId="15" fillId="0" borderId="1" xfId="0" applyNumberFormat="1" applyFont="1" applyBorder="1" applyAlignment="1">
      <alignment horizontal="center"/>
    </xf>
    <xf numFmtId="44" fontId="0" fillId="6" borderId="1" xfId="1" applyFont="1" applyFill="1" applyBorder="1"/>
    <xf numFmtId="44" fontId="0" fillId="6" borderId="1" xfId="1" applyFont="1" applyFill="1" applyBorder="1" applyAlignment="1">
      <alignment horizontal="center"/>
    </xf>
    <xf numFmtId="0" fontId="0" fillId="6" borderId="1" xfId="0" applyFill="1" applyBorder="1" applyAlignment="1">
      <alignment horizontal="center"/>
    </xf>
    <xf numFmtId="44" fontId="2" fillId="6" borderId="1" xfId="0" applyNumberFormat="1" applyFont="1" applyFill="1" applyBorder="1"/>
    <xf numFmtId="0" fontId="11" fillId="3" borderId="1" xfId="0" applyFont="1" applyFill="1" applyBorder="1" applyAlignment="1">
      <alignment horizontal="center"/>
    </xf>
    <xf numFmtId="0" fontId="10" fillId="0" borderId="9" xfId="0" applyFont="1" applyBorder="1"/>
    <xf numFmtId="0" fontId="0" fillId="0" borderId="8" xfId="0" applyBorder="1" applyAlignment="1">
      <alignment horizontal="center"/>
    </xf>
    <xf numFmtId="0" fontId="10" fillId="0" borderId="5" xfId="0" applyFont="1" applyBorder="1"/>
    <xf numFmtId="0" fontId="3" fillId="0" borderId="8" xfId="0" applyFont="1" applyBorder="1" applyAlignment="1">
      <alignment horizontal="center" vertical="center" wrapText="1"/>
    </xf>
    <xf numFmtId="0" fontId="11" fillId="0" borderId="9" xfId="0" applyFont="1" applyBorder="1" applyAlignment="1">
      <alignment horizontal="center"/>
    </xf>
    <xf numFmtId="44" fontId="5" fillId="0" borderId="0" xfId="1" applyFont="1" applyAlignment="1">
      <alignment horizontal="center"/>
    </xf>
    <xf numFmtId="0" fontId="0" fillId="0" borderId="12" xfId="0" applyBorder="1" applyAlignment="1">
      <alignment horizontal="center" vertical="center"/>
    </xf>
    <xf numFmtId="44" fontId="7" fillId="0" borderId="1" xfId="1" applyFont="1" applyBorder="1" applyAlignment="1">
      <alignment horizontal="center" vertical="center"/>
    </xf>
    <xf numFmtId="0" fontId="0" fillId="0" borderId="0" xfId="0" applyAlignment="1">
      <alignment horizontal="center" vertical="center"/>
    </xf>
    <xf numFmtId="10" fontId="6" fillId="0" borderId="1" xfId="2" applyNumberFormat="1" applyFont="1" applyBorder="1" applyAlignment="1">
      <alignment horizontal="center" vertical="center"/>
    </xf>
    <xf numFmtId="44" fontId="6" fillId="0" borderId="1" xfId="1" applyFont="1" applyBorder="1" applyAlignment="1">
      <alignment horizontal="center" vertical="center"/>
    </xf>
    <xf numFmtId="10" fontId="6" fillId="0" borderId="0" xfId="2" applyNumberFormat="1" applyFont="1" applyBorder="1" applyAlignment="1">
      <alignment horizontal="center" vertical="center"/>
    </xf>
    <xf numFmtId="44" fontId="6" fillId="0" borderId="11" xfId="1" applyFont="1" applyBorder="1" applyAlignment="1">
      <alignment horizontal="center" vertical="center"/>
    </xf>
    <xf numFmtId="44" fontId="7" fillId="0" borderId="0" xfId="1" applyFont="1" applyBorder="1" applyAlignment="1">
      <alignment horizontal="center" vertical="center"/>
    </xf>
    <xf numFmtId="44" fontId="0" fillId="0" borderId="0" xfId="1" applyFont="1" applyAlignment="1">
      <alignment horizontal="center"/>
    </xf>
    <xf numFmtId="0" fontId="0" fillId="0" borderId="0" xfId="0" quotePrefix="1" applyAlignment="1">
      <alignment vertical="center"/>
    </xf>
    <xf numFmtId="0" fontId="17" fillId="7" borderId="25" xfId="0" applyFont="1" applyFill="1" applyBorder="1" applyAlignment="1">
      <alignment horizontal="left" vertical="top" wrapText="1"/>
    </xf>
    <xf numFmtId="0" fontId="18" fillId="0" borderId="1" xfId="0" applyFont="1" applyBorder="1" applyAlignment="1">
      <alignment horizontal="left" vertical="center" wrapText="1"/>
    </xf>
    <xf numFmtId="0" fontId="17" fillId="0" borderId="26" xfId="0" applyFont="1" applyBorder="1" applyAlignment="1">
      <alignment horizontal="center" vertical="top" wrapText="1"/>
    </xf>
    <xf numFmtId="0" fontId="17" fillId="7" borderId="26" xfId="0" applyFont="1" applyFill="1" applyBorder="1" applyAlignment="1">
      <alignment horizontal="center" vertical="top" wrapText="1"/>
    </xf>
    <xf numFmtId="0" fontId="19" fillId="0" borderId="0" xfId="0" applyFont="1" applyAlignment="1">
      <alignment horizontal="left" vertical="top"/>
    </xf>
    <xf numFmtId="0" fontId="0" fillId="0" borderId="25" xfId="0" applyBorder="1" applyAlignment="1">
      <alignment horizontal="left" vertical="top" wrapText="1"/>
    </xf>
    <xf numFmtId="0" fontId="0" fillId="0" borderId="26" xfId="0" applyBorder="1" applyAlignment="1">
      <alignment vertical="top" wrapText="1"/>
    </xf>
    <xf numFmtId="0" fontId="17" fillId="7" borderId="0" xfId="0" applyFont="1" applyFill="1" applyAlignment="1">
      <alignment horizontal="center" vertical="top" wrapText="1"/>
    </xf>
    <xf numFmtId="0" fontId="4" fillId="8" borderId="14" xfId="0" applyFont="1" applyFill="1" applyBorder="1" applyAlignment="1">
      <alignment horizontal="left" vertical="center" wrapText="1"/>
    </xf>
    <xf numFmtId="0" fontId="4" fillId="8" borderId="1" xfId="0" applyFont="1" applyFill="1" applyBorder="1" applyAlignment="1">
      <alignment horizontal="left" vertical="center" wrapText="1"/>
    </xf>
    <xf numFmtId="0" fontId="5" fillId="8" borderId="1" xfId="0" applyFont="1" applyFill="1" applyBorder="1" applyAlignment="1">
      <alignment horizontal="center" vertical="center"/>
    </xf>
    <xf numFmtId="2" fontId="5" fillId="8" borderId="1" xfId="0" applyNumberFormat="1" applyFont="1" applyFill="1" applyBorder="1" applyAlignment="1">
      <alignment horizontal="right" vertical="center"/>
    </xf>
    <xf numFmtId="44" fontId="5" fillId="8" borderId="1" xfId="1" applyFont="1" applyFill="1" applyBorder="1" applyAlignment="1">
      <alignment horizontal="right" vertical="center"/>
    </xf>
    <xf numFmtId="0" fontId="0" fillId="8" borderId="0" xfId="0" applyFill="1" applyAlignment="1">
      <alignment vertical="center"/>
    </xf>
    <xf numFmtId="44" fontId="11" fillId="8" borderId="1" xfId="1" applyFont="1" applyFill="1" applyBorder="1" applyAlignment="1">
      <alignment horizontal="right" vertical="center"/>
    </xf>
    <xf numFmtId="0" fontId="5" fillId="8" borderId="14" xfId="0" applyFont="1" applyFill="1" applyBorder="1" applyAlignment="1">
      <alignment horizontal="left" vertical="center" wrapText="1"/>
    </xf>
    <xf numFmtId="0" fontId="5" fillId="8" borderId="1" xfId="0" applyFont="1" applyFill="1" applyBorder="1" applyAlignment="1">
      <alignment horizontal="left" vertical="center" wrapText="1"/>
    </xf>
    <xf numFmtId="44" fontId="10" fillId="8" borderId="1" xfId="1" applyFont="1" applyFill="1" applyBorder="1" applyAlignment="1">
      <alignment horizontal="right" vertical="center"/>
    </xf>
    <xf numFmtId="165" fontId="11" fillId="5" borderId="9" xfId="0" applyNumberFormat="1" applyFont="1" applyFill="1" applyBorder="1" applyAlignment="1">
      <alignment horizontal="center" vertical="center"/>
    </xf>
    <xf numFmtId="44" fontId="11" fillId="0" borderId="1" xfId="1" applyFont="1" applyBorder="1" applyAlignment="1">
      <alignment horizontal="center" vertical="center"/>
    </xf>
    <xf numFmtId="44" fontId="4" fillId="5" borderId="1" xfId="1" applyFont="1" applyFill="1" applyBorder="1" applyAlignment="1">
      <alignment horizontal="center" vertical="center"/>
    </xf>
    <xf numFmtId="0" fontId="13" fillId="2" borderId="1" xfId="0" applyFont="1" applyFill="1" applyBorder="1" applyAlignment="1">
      <alignment horizontal="left"/>
    </xf>
    <xf numFmtId="0" fontId="10" fillId="3" borderId="1" xfId="0" applyFont="1" applyFill="1" applyBorder="1"/>
    <xf numFmtId="0" fontId="10" fillId="3" borderId="9" xfId="0" applyFont="1" applyFill="1" applyBorder="1"/>
    <xf numFmtId="0" fontId="11" fillId="3" borderId="3" xfId="0" applyFont="1" applyFill="1" applyBorder="1" applyAlignment="1">
      <alignment horizontal="center"/>
    </xf>
    <xf numFmtId="0" fontId="11" fillId="3" borderId="1" xfId="0" applyFont="1" applyFill="1" applyBorder="1" applyAlignment="1">
      <alignment horizontal="center"/>
    </xf>
    <xf numFmtId="0" fontId="11" fillId="3" borderId="9" xfId="0" applyFont="1" applyFill="1" applyBorder="1" applyAlignment="1">
      <alignment horizontal="center"/>
    </xf>
    <xf numFmtId="0" fontId="11" fillId="3" borderId="2" xfId="0" applyFont="1" applyFill="1" applyBorder="1" applyAlignment="1">
      <alignment horizontal="center"/>
    </xf>
    <xf numFmtId="0" fontId="11" fillId="3" borderId="4" xfId="0" applyFont="1" applyFill="1" applyBorder="1" applyAlignment="1">
      <alignment horizontal="center"/>
    </xf>
    <xf numFmtId="0" fontId="3" fillId="4" borderId="1"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2" fillId="0" borderId="1" xfId="0" applyFont="1" applyBorder="1" applyAlignment="1">
      <alignment horizontal="right"/>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44" fontId="11" fillId="5" borderId="9" xfId="1" applyFont="1" applyFill="1" applyBorder="1" applyAlignment="1">
      <alignment horizontal="center" vertical="center"/>
    </xf>
    <xf numFmtId="165" fontId="11" fillId="5" borderId="6" xfId="0" applyNumberFormat="1" applyFont="1" applyFill="1" applyBorder="1" applyAlignment="1">
      <alignment horizontal="center" vertical="center"/>
    </xf>
    <xf numFmtId="165" fontId="11" fillId="5" borderId="7" xfId="0" applyNumberFormat="1" applyFont="1" applyFill="1" applyBorder="1" applyAlignment="1">
      <alignment horizontal="center" vertical="center"/>
    </xf>
    <xf numFmtId="44" fontId="11" fillId="0" borderId="2" xfId="1" applyFont="1" applyBorder="1" applyAlignment="1">
      <alignment horizontal="center" vertical="center"/>
    </xf>
    <xf numFmtId="44" fontId="11" fillId="0" borderId="4" xfId="1" applyFont="1" applyBorder="1" applyAlignment="1">
      <alignment horizontal="center" vertical="center"/>
    </xf>
    <xf numFmtId="44" fontId="11" fillId="0" borderId="3" xfId="1" applyFont="1" applyBorder="1" applyAlignment="1">
      <alignment horizontal="center" vertical="center"/>
    </xf>
  </cellXfs>
  <cellStyles count="3">
    <cellStyle name="Moeda" xfId="1" builtinId="4"/>
    <cellStyle name="Normal" xfId="0" builtinId="0"/>
    <cellStyle name="Porcentagem" xfId="2" builtinId="5"/>
  </cellStyles>
  <dxfs count="44">
    <dxf>
      <font>
        <b/>
        <i val="0"/>
      </font>
      <fill>
        <patternFill>
          <bgColor rgb="FF7030A0"/>
        </patternFill>
      </fill>
    </dxf>
    <dxf>
      <font>
        <b/>
        <i val="0"/>
      </font>
      <fill>
        <patternFill>
          <bgColor rgb="FFFF0000"/>
        </patternFill>
      </fill>
    </dxf>
    <dxf>
      <font>
        <b/>
        <i val="0"/>
      </font>
      <fill>
        <patternFill>
          <bgColor rgb="FFFFFF00"/>
        </patternFill>
      </fill>
    </dxf>
    <dxf>
      <font>
        <b/>
        <i val="0"/>
      </font>
      <fill>
        <patternFill>
          <bgColor rgb="FFFFFF00"/>
        </patternFill>
      </fill>
    </dxf>
    <dxf>
      <font>
        <b/>
        <i val="0"/>
      </font>
      <fill>
        <patternFill>
          <bgColor rgb="FF7030A0"/>
        </patternFill>
      </fill>
    </dxf>
    <dxf>
      <font>
        <b/>
        <i val="0"/>
      </font>
      <fill>
        <patternFill>
          <bgColor rgb="FFFF0000"/>
        </patternFill>
      </fill>
    </dxf>
    <dxf>
      <font>
        <b/>
        <i val="0"/>
      </font>
      <fill>
        <patternFill>
          <bgColor rgb="FFFFFF00"/>
        </patternFill>
      </fill>
    </dxf>
    <dxf>
      <font>
        <b/>
        <i val="0"/>
      </font>
      <fill>
        <patternFill>
          <bgColor rgb="FF7030A0"/>
        </patternFill>
      </fill>
    </dxf>
    <dxf>
      <font>
        <b/>
        <i val="0"/>
      </font>
      <fill>
        <patternFill>
          <bgColor rgb="FFFF0000"/>
        </patternFill>
      </fill>
    </dxf>
    <dxf>
      <font>
        <b/>
        <i val="0"/>
      </font>
      <fill>
        <patternFill>
          <bgColor rgb="FFFFFF00"/>
        </patternFill>
      </fill>
    </dxf>
    <dxf>
      <font>
        <b/>
        <i val="0"/>
      </font>
      <fill>
        <patternFill>
          <bgColor rgb="FFFF0000"/>
        </patternFill>
      </fill>
    </dxf>
    <dxf>
      <font>
        <b/>
        <i val="0"/>
      </font>
      <fill>
        <patternFill>
          <bgColor rgb="FF7030A0"/>
        </patternFill>
      </fill>
    </dxf>
    <dxf>
      <font>
        <b/>
        <i val="0"/>
      </font>
      <fill>
        <patternFill>
          <bgColor rgb="FFFFFF00"/>
        </patternFill>
      </fill>
    </dxf>
    <dxf>
      <font>
        <b/>
        <i val="0"/>
      </font>
      <fill>
        <patternFill>
          <bgColor rgb="FF7030A0"/>
        </patternFill>
      </fill>
    </dxf>
    <dxf>
      <font>
        <b/>
        <i val="0"/>
      </font>
      <fill>
        <patternFill>
          <bgColor rgb="FFFF0000"/>
        </patternFill>
      </fill>
    </dxf>
    <dxf>
      <font>
        <b/>
        <i val="0"/>
      </font>
      <fill>
        <patternFill>
          <bgColor rgb="FFFFFF00"/>
        </patternFill>
      </fill>
    </dxf>
    <dxf>
      <font>
        <b/>
        <i val="0"/>
      </font>
      <fill>
        <patternFill>
          <bgColor rgb="FF7030A0"/>
        </patternFill>
      </fill>
    </dxf>
    <dxf>
      <font>
        <b/>
        <i val="0"/>
      </font>
      <fill>
        <patternFill>
          <bgColor rgb="FFFF0000"/>
        </patternFill>
      </fill>
    </dxf>
    <dxf>
      <font>
        <b/>
        <i val="0"/>
      </font>
      <fill>
        <patternFill>
          <bgColor rgb="FFFFFF00"/>
        </patternFill>
      </fill>
    </dxf>
    <dxf>
      <font>
        <b/>
        <i val="0"/>
      </font>
      <fill>
        <patternFill>
          <bgColor rgb="FF7030A0"/>
        </patternFill>
      </fill>
    </dxf>
    <dxf>
      <font>
        <b/>
        <i val="0"/>
      </font>
      <fill>
        <patternFill>
          <bgColor rgb="FFFF0000"/>
        </patternFill>
      </fill>
    </dxf>
    <dxf>
      <font>
        <b/>
        <i val="0"/>
      </font>
      <fill>
        <patternFill>
          <bgColor rgb="FF7030A0"/>
        </patternFill>
      </fill>
    </dxf>
    <dxf>
      <font>
        <b/>
        <i val="0"/>
      </font>
      <fill>
        <patternFill>
          <bgColor rgb="FFFFFF00"/>
        </patternFill>
      </fill>
    </dxf>
    <dxf>
      <font>
        <b/>
        <i val="0"/>
      </font>
      <fill>
        <patternFill>
          <bgColor rgb="FFFF0000"/>
        </patternFill>
      </fill>
    </dxf>
    <dxf>
      <font>
        <b/>
        <i val="0"/>
      </font>
      <fill>
        <patternFill>
          <bgColor rgb="FF7030A0"/>
        </patternFill>
      </fill>
    </dxf>
    <dxf>
      <font>
        <b/>
        <i val="0"/>
      </font>
      <fill>
        <patternFill>
          <bgColor rgb="FFFF0000"/>
        </patternFill>
      </fill>
    </dxf>
    <dxf>
      <font>
        <b/>
        <i val="0"/>
      </font>
      <fill>
        <patternFill>
          <bgColor rgb="FFFFFF00"/>
        </patternFill>
      </fill>
    </dxf>
    <dxf>
      <font>
        <b/>
        <i val="0"/>
      </font>
      <fill>
        <patternFill>
          <bgColor rgb="FFFFFF00"/>
        </patternFill>
      </fill>
    </dxf>
    <dxf>
      <font>
        <b/>
        <i val="0"/>
      </font>
      <fill>
        <patternFill>
          <bgColor rgb="FF7030A0"/>
        </patternFill>
      </fill>
    </dxf>
    <dxf>
      <font>
        <b/>
        <i val="0"/>
      </font>
      <fill>
        <patternFill>
          <bgColor rgb="FFFF0000"/>
        </patternFill>
      </fill>
    </dxf>
    <dxf>
      <font>
        <b/>
        <i val="0"/>
      </font>
      <fill>
        <patternFill>
          <bgColor rgb="FFFFFF00"/>
        </patternFill>
      </fill>
    </dxf>
    <dxf>
      <font>
        <b/>
        <i val="0"/>
      </font>
      <fill>
        <patternFill>
          <bgColor rgb="FF7030A0"/>
        </patternFill>
      </fill>
    </dxf>
    <dxf>
      <font>
        <b/>
        <i val="0"/>
      </font>
      <fill>
        <patternFill>
          <bgColor rgb="FFFF0000"/>
        </patternFill>
      </fill>
    </dxf>
    <dxf>
      <font>
        <b/>
        <i val="0"/>
      </font>
      <fill>
        <patternFill>
          <bgColor rgb="FF7030A0"/>
        </patternFill>
      </fill>
    </dxf>
    <dxf>
      <font>
        <b/>
        <i val="0"/>
      </font>
      <fill>
        <patternFill>
          <bgColor rgb="FFFF0000"/>
        </patternFill>
      </fill>
    </dxf>
    <dxf>
      <font>
        <b/>
        <i val="0"/>
      </font>
      <fill>
        <patternFill>
          <bgColor rgb="FFFFFF00"/>
        </patternFill>
      </fill>
    </dxf>
    <dxf>
      <font>
        <b/>
        <i val="0"/>
      </font>
      <fill>
        <patternFill>
          <bgColor rgb="FFFFFF00"/>
        </patternFill>
      </fill>
    </dxf>
    <dxf>
      <font>
        <b/>
        <i val="0"/>
      </font>
      <fill>
        <patternFill>
          <bgColor rgb="FF7030A0"/>
        </patternFill>
      </fill>
    </dxf>
    <dxf>
      <font>
        <b/>
        <i val="0"/>
      </font>
      <fill>
        <patternFill>
          <bgColor rgb="FFFF0000"/>
        </patternFill>
      </fill>
    </dxf>
    <dxf>
      <font>
        <b/>
      </font>
      <fill>
        <patternFill patternType="solid">
          <fgColor rgb="FFFFFF00"/>
          <bgColor rgb="FFFFFF00"/>
        </patternFill>
      </fill>
    </dxf>
    <dxf>
      <font>
        <b/>
      </font>
      <fill>
        <patternFill patternType="solid">
          <fgColor rgb="FFFF0000"/>
          <bgColor rgb="FFFF0000"/>
        </patternFill>
      </fill>
    </dxf>
    <dxf>
      <font>
        <b/>
      </font>
      <fill>
        <patternFill patternType="solid">
          <fgColor rgb="FF7030A0"/>
          <bgColor rgb="FF7030A0"/>
        </patternFill>
      </fill>
    </dxf>
    <dxf>
      <fill>
        <patternFill patternType="solid">
          <fgColor rgb="FF8FD7DC"/>
          <bgColor rgb="FF8FD7DC"/>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21"/>
  <sheetViews>
    <sheetView workbookViewId="0">
      <pane ySplit="4" topLeftCell="A5" activePane="bottomLeft" state="frozen"/>
      <selection activeCell="G1" sqref="G1"/>
      <selection pane="bottomLeft" activeCell="A5" sqref="A5"/>
    </sheetView>
  </sheetViews>
  <sheetFormatPr defaultRowHeight="15" x14ac:dyDescent="0.25"/>
  <cols>
    <col min="1" max="2" width="8.5703125" style="20" customWidth="1"/>
    <col min="3" max="3" width="8.5703125" customWidth="1"/>
    <col min="4" max="4" width="15.42578125" style="20" customWidth="1"/>
    <col min="5" max="5" width="14.7109375" bestFit="1" customWidth="1"/>
    <col min="6" max="6" width="1.140625" customWidth="1"/>
    <col min="7" max="8" width="13.85546875" customWidth="1"/>
    <col min="9" max="9" width="0.7109375" customWidth="1"/>
    <col min="10" max="10" width="16.28515625" bestFit="1" customWidth="1"/>
    <col min="11" max="11" width="0.85546875" customWidth="1"/>
    <col min="12" max="12" width="19.85546875" bestFit="1" customWidth="1"/>
    <col min="13" max="13" width="15.28515625" customWidth="1"/>
    <col min="14" max="14" width="16.42578125" bestFit="1" customWidth="1"/>
    <col min="15" max="16" width="13.7109375" customWidth="1"/>
    <col min="17" max="17" width="1.140625" customWidth="1"/>
    <col min="18" max="19" width="22.85546875" customWidth="1"/>
    <col min="20" max="20" width="0.85546875" customWidth="1"/>
    <col min="21" max="21" width="22.85546875" customWidth="1"/>
    <col min="22" max="22" width="1.28515625" customWidth="1"/>
    <col min="23" max="23" width="20" bestFit="1" customWidth="1"/>
    <col min="24" max="24" width="21.28515625" bestFit="1" customWidth="1"/>
    <col min="25" max="25" width="15.5703125" bestFit="1" customWidth="1"/>
    <col min="26" max="26" width="13.7109375" bestFit="1" customWidth="1"/>
    <col min="27" max="27" width="14.5703125" bestFit="1" customWidth="1"/>
    <col min="28" max="28" width="1.5703125" customWidth="1"/>
    <col min="29" max="29" width="17.42578125" bestFit="1" customWidth="1"/>
    <col min="30" max="30" width="17.42578125" customWidth="1"/>
    <col min="31" max="31" width="22.42578125" bestFit="1" customWidth="1"/>
    <col min="32" max="32" width="0.85546875" customWidth="1"/>
    <col min="33" max="33" width="15.28515625" bestFit="1" customWidth="1"/>
    <col min="34" max="34" width="0.85546875" customWidth="1"/>
    <col min="35" max="36" width="17.42578125" bestFit="1" customWidth="1"/>
    <col min="37" max="37" width="1.140625" customWidth="1"/>
    <col min="38" max="38" width="22.42578125" bestFit="1" customWidth="1"/>
    <col min="39" max="39" width="0.85546875" customWidth="1"/>
    <col min="40" max="40" width="15.42578125" bestFit="1" customWidth="1"/>
  </cols>
  <sheetData>
    <row r="1" spans="1:42" ht="15.75" customHeight="1" x14ac:dyDescent="0.25">
      <c r="A1" s="279" t="s">
        <v>764</v>
      </c>
      <c r="B1" s="280"/>
      <c r="C1" s="280"/>
      <c r="D1" s="280"/>
      <c r="E1" s="280"/>
      <c r="F1" s="281"/>
      <c r="G1" s="280"/>
      <c r="H1" s="280"/>
      <c r="I1" s="280"/>
      <c r="J1" s="280"/>
      <c r="K1" s="280"/>
      <c r="L1" s="280"/>
      <c r="M1" s="280"/>
      <c r="N1" s="280"/>
      <c r="O1" s="280"/>
      <c r="P1" s="280"/>
      <c r="Q1" s="280"/>
      <c r="R1" s="280"/>
      <c r="S1" s="280"/>
      <c r="T1" s="280"/>
      <c r="U1" s="280"/>
      <c r="V1" s="280"/>
      <c r="W1" s="280"/>
      <c r="X1" s="280"/>
      <c r="Y1" s="280"/>
      <c r="Z1" s="280"/>
      <c r="AA1" s="280"/>
      <c r="AB1" s="280"/>
      <c r="AC1" s="280"/>
      <c r="AD1" s="280"/>
      <c r="AE1" s="280"/>
      <c r="AF1" s="280"/>
      <c r="AG1" s="280"/>
      <c r="AH1" s="280"/>
      <c r="AI1" s="280"/>
      <c r="AJ1" s="280"/>
      <c r="AK1" s="280"/>
      <c r="AL1" s="280"/>
      <c r="AM1" s="280"/>
      <c r="AN1" s="280"/>
    </row>
    <row r="2" spans="1:42" ht="15.75" customHeight="1" x14ac:dyDescent="0.25">
      <c r="A2" s="287" t="s">
        <v>0</v>
      </c>
      <c r="B2" s="287" t="s">
        <v>733</v>
      </c>
      <c r="C2" s="287" t="s">
        <v>734</v>
      </c>
      <c r="D2" s="287" t="s">
        <v>1</v>
      </c>
      <c r="E2" s="293" t="s">
        <v>2</v>
      </c>
      <c r="F2" s="242"/>
      <c r="G2" s="282" t="s">
        <v>747</v>
      </c>
      <c r="H2" s="283"/>
      <c r="I2" s="284"/>
      <c r="J2" s="283"/>
      <c r="K2" s="242"/>
      <c r="L2" s="285" t="s">
        <v>206</v>
      </c>
      <c r="M2" s="286"/>
      <c r="N2" s="286"/>
      <c r="O2" s="286"/>
      <c r="P2" s="282"/>
      <c r="Q2" s="242"/>
      <c r="R2" s="214" t="s">
        <v>736</v>
      </c>
      <c r="S2" s="214" t="s">
        <v>742</v>
      </c>
      <c r="T2" s="242"/>
      <c r="U2" s="214" t="s">
        <v>752</v>
      </c>
      <c r="V2" s="242"/>
      <c r="W2" s="283" t="s">
        <v>755</v>
      </c>
      <c r="X2" s="283"/>
      <c r="Y2" s="283"/>
      <c r="Z2" s="283"/>
      <c r="AA2" s="283"/>
      <c r="AB2" s="242"/>
      <c r="AC2" s="214" t="s">
        <v>753</v>
      </c>
      <c r="AD2" s="214" t="s">
        <v>771</v>
      </c>
      <c r="AE2" s="287" t="s">
        <v>772</v>
      </c>
      <c r="AF2" s="242"/>
      <c r="AG2" s="288" t="s">
        <v>743</v>
      </c>
      <c r="AH2" s="242"/>
      <c r="AI2" s="241" t="s">
        <v>775</v>
      </c>
      <c r="AJ2" s="241" t="s">
        <v>776</v>
      </c>
      <c r="AK2" s="242"/>
      <c r="AL2" s="241" t="s">
        <v>744</v>
      </c>
      <c r="AM2" s="242"/>
      <c r="AN2" s="288" t="s">
        <v>745</v>
      </c>
    </row>
    <row r="3" spans="1:42" ht="30" x14ac:dyDescent="0.25">
      <c r="A3" s="287"/>
      <c r="B3" s="287"/>
      <c r="C3" s="287"/>
      <c r="D3" s="287"/>
      <c r="E3" s="293"/>
      <c r="F3" s="244"/>
      <c r="G3" s="292" t="s">
        <v>3</v>
      </c>
      <c r="H3" s="293" t="s">
        <v>746</v>
      </c>
      <c r="I3" s="246"/>
      <c r="J3" s="292" t="s">
        <v>735</v>
      </c>
      <c r="K3" s="244"/>
      <c r="L3" s="288" t="s">
        <v>756</v>
      </c>
      <c r="M3" s="288" t="s">
        <v>748</v>
      </c>
      <c r="N3" s="288" t="s">
        <v>749</v>
      </c>
      <c r="O3" s="288" t="s">
        <v>750</v>
      </c>
      <c r="P3" s="288" t="s">
        <v>751</v>
      </c>
      <c r="Q3" s="244"/>
      <c r="R3" s="287" t="s">
        <v>747</v>
      </c>
      <c r="S3" s="287" t="s">
        <v>206</v>
      </c>
      <c r="T3" s="244"/>
      <c r="U3" s="287" t="str">
        <f>_xlfn.CONCAT(R3," ","+"," ",S3)</f>
        <v>Contenções e Demolições + Obras Complementares</v>
      </c>
      <c r="V3" s="244"/>
      <c r="W3" s="287" t="s">
        <v>737</v>
      </c>
      <c r="X3" s="287" t="s">
        <v>738</v>
      </c>
      <c r="Y3" s="287" t="s">
        <v>739</v>
      </c>
      <c r="Z3" s="287" t="s">
        <v>740</v>
      </c>
      <c r="AA3" s="287" t="s">
        <v>741</v>
      </c>
      <c r="AB3" s="244"/>
      <c r="AC3" s="214" t="s">
        <v>769</v>
      </c>
      <c r="AD3" s="214" t="s">
        <v>770</v>
      </c>
      <c r="AE3" s="287"/>
      <c r="AF3" s="244"/>
      <c r="AG3" s="289"/>
      <c r="AH3" s="244"/>
      <c r="AI3" s="214" t="s">
        <v>773</v>
      </c>
      <c r="AJ3" s="214" t="s">
        <v>774</v>
      </c>
      <c r="AK3" s="244"/>
      <c r="AL3" s="214" t="s">
        <v>777</v>
      </c>
      <c r="AM3" s="244"/>
      <c r="AN3" s="289"/>
    </row>
    <row r="4" spans="1:42" ht="48" customHeight="1" x14ac:dyDescent="0.25">
      <c r="A4" s="287"/>
      <c r="B4" s="287"/>
      <c r="C4" s="287"/>
      <c r="D4" s="287"/>
      <c r="E4" s="293"/>
      <c r="F4" s="245"/>
      <c r="G4" s="292"/>
      <c r="H4" s="293"/>
      <c r="I4" s="245"/>
      <c r="J4" s="292"/>
      <c r="K4" s="245"/>
      <c r="L4" s="290"/>
      <c r="M4" s="290"/>
      <c r="N4" s="290"/>
      <c r="O4" s="290"/>
      <c r="P4" s="290"/>
      <c r="Q4" s="245"/>
      <c r="R4" s="287"/>
      <c r="S4" s="287"/>
      <c r="T4" s="245"/>
      <c r="U4" s="287"/>
      <c r="V4" s="245"/>
      <c r="W4" s="287"/>
      <c r="X4" s="287"/>
      <c r="Y4" s="287"/>
      <c r="Z4" s="287"/>
      <c r="AA4" s="287"/>
      <c r="AB4" s="245"/>
      <c r="AC4" s="214" t="str">
        <f>_xlfn.CONCAT(R3," ","+"," ","Adicionais %")</f>
        <v>Contenções e Demolições + Adicionais %</v>
      </c>
      <c r="AD4" s="214" t="str">
        <f>_xlfn.CONCAT(S3," ","+"," ","Adicionais %")</f>
        <v>Obras Complementares + Adicionais %</v>
      </c>
      <c r="AE4" s="214" t="str">
        <f>_xlfn.CONCAT(R3," ","+"," ",S3," ","+"," ","Adicionais %")</f>
        <v>Contenções e Demolições + Obras Complementares + Adicionais %</v>
      </c>
      <c r="AF4" s="245"/>
      <c r="AG4" s="290"/>
      <c r="AH4" s="245"/>
      <c r="AI4" s="214" t="str">
        <f>_xlfn.CONCAT(AC4," ","+"," ","BDI")</f>
        <v>Contenções e Demolições + Adicionais % + BDI</v>
      </c>
      <c r="AJ4" s="214" t="str">
        <f>_xlfn.CONCAT(AD4," ","+"," ","BDI")</f>
        <v>Obras Complementares + Adicionais % + BDI</v>
      </c>
      <c r="AK4" s="245"/>
      <c r="AL4" s="214" t="str">
        <f>_xlfn.CONCAT(R3," ","+"," ",S3," ","+"," ","Adicionais %"," ","+"," ","BDI")</f>
        <v>Contenções e Demolições + Obras Complementares + Adicionais % + BDI</v>
      </c>
      <c r="AM4" s="245"/>
      <c r="AN4" s="290"/>
      <c r="AO4" s="213"/>
      <c r="AP4" s="213"/>
    </row>
    <row r="5" spans="1:42" x14ac:dyDescent="0.25">
      <c r="A5" s="100">
        <v>1</v>
      </c>
      <c r="B5" s="100" t="str">
        <f>MID('01_Carvalho'!D5,16,6)</f>
        <v>A1S1R3</v>
      </c>
      <c r="C5" s="100" t="str">
        <f>RIGHT(B5,2)</f>
        <v>R3</v>
      </c>
      <c r="D5" s="100" t="str">
        <f>MID('01_Carvalho'!$C$3,51,9)</f>
        <v>Esperança</v>
      </c>
      <c r="E5" s="100" t="str">
        <f>MID('01_Carvalho'!$C$3,34,8)</f>
        <v>Carvalho</v>
      </c>
      <c r="F5" s="243"/>
      <c r="G5" s="100">
        <v>6</v>
      </c>
      <c r="H5" s="100"/>
      <c r="I5" s="243"/>
      <c r="J5" s="233">
        <f>'01_Carvalho'!M5</f>
        <v>386572.95</v>
      </c>
      <c r="K5" s="234"/>
      <c r="L5" s="235">
        <f>0</f>
        <v>0</v>
      </c>
      <c r="M5" s="233">
        <v>0</v>
      </c>
      <c r="N5" s="233">
        <v>0</v>
      </c>
      <c r="O5" s="233">
        <v>0</v>
      </c>
      <c r="P5" s="233">
        <v>0</v>
      </c>
      <c r="Q5" s="100"/>
      <c r="R5" s="232">
        <f>SUM(J5:J5)</f>
        <v>386572.95</v>
      </c>
      <c r="S5" s="232">
        <f>SUM(L5:P5)</f>
        <v>0</v>
      </c>
      <c r="T5" s="232"/>
      <c r="U5" s="232">
        <f>R5+S5</f>
        <v>386572.95</v>
      </c>
      <c r="V5" s="100"/>
      <c r="W5" s="236">
        <f>U5*0.05</f>
        <v>19328.647500000003</v>
      </c>
      <c r="X5" s="236">
        <f>U5*0.04</f>
        <v>15462.918000000001</v>
      </c>
      <c r="Y5" s="236">
        <f>U5*0.01</f>
        <v>3865.7295000000004</v>
      </c>
      <c r="Z5" s="236">
        <f>U5*0.03</f>
        <v>11597.1885</v>
      </c>
      <c r="AA5" s="236">
        <f>U5*0.005</f>
        <v>1932.8647500000002</v>
      </c>
      <c r="AB5" s="100"/>
      <c r="AC5" s="240">
        <f>R5+SUM(W5:AA5)</f>
        <v>438760.29824999999</v>
      </c>
      <c r="AD5" s="232">
        <v>0</v>
      </c>
      <c r="AE5" s="232">
        <f t="shared" ref="AE5:AE10" si="0">SUM(AC5:AD5)</f>
        <v>438760.29824999999</v>
      </c>
      <c r="AF5" s="230"/>
      <c r="AG5" s="236">
        <f>AE5*0.268</f>
        <v>117587.75993100001</v>
      </c>
      <c r="AH5" s="100"/>
      <c r="AI5" s="232">
        <f>AC5+AC5*0.268</f>
        <v>556348.05818099994</v>
      </c>
      <c r="AJ5" s="232">
        <f>AD5+AD5*0.268</f>
        <v>0</v>
      </c>
      <c r="AK5" s="230"/>
      <c r="AL5" s="232">
        <f>SUM(AI5:AJ5)</f>
        <v>556348.05818099994</v>
      </c>
      <c r="AM5" s="100"/>
      <c r="AN5" s="231">
        <f>AL5/G5</f>
        <v>92724.676363499995</v>
      </c>
      <c r="AO5" s="20"/>
    </row>
    <row r="6" spans="1:42" x14ac:dyDescent="0.25">
      <c r="A6" s="100">
        <v>1</v>
      </c>
      <c r="B6" s="100" t="str">
        <f>MID('01_Carvalho'!D36,16,6)</f>
        <v>A1S2R4</v>
      </c>
      <c r="C6" s="100" t="str">
        <f>RIGHT(B6,2)</f>
        <v>R4</v>
      </c>
      <c r="D6" s="100" t="str">
        <f>MID('01_Carvalho'!$C$3,51,9)</f>
        <v>Esperança</v>
      </c>
      <c r="E6" s="100" t="str">
        <f>MID('01_Carvalho'!$C$3,34,8)</f>
        <v>Carvalho</v>
      </c>
      <c r="F6" s="100"/>
      <c r="G6" s="100">
        <v>17</v>
      </c>
      <c r="H6" s="100"/>
      <c r="I6" s="100"/>
      <c r="J6" s="233">
        <f>'01_Carvalho'!M36</f>
        <v>743321.27</v>
      </c>
      <c r="K6" s="234"/>
      <c r="L6" s="235">
        <f>0</f>
        <v>0</v>
      </c>
      <c r="M6" s="233">
        <v>0</v>
      </c>
      <c r="N6" s="233">
        <v>0</v>
      </c>
      <c r="O6" s="233">
        <v>0</v>
      </c>
      <c r="P6" s="233">
        <v>0</v>
      </c>
      <c r="Q6" s="234"/>
      <c r="R6" s="232">
        <f>SUM(J6:J6)</f>
        <v>743321.27</v>
      </c>
      <c r="S6" s="232">
        <f t="shared" ref="S6:S9" si="1">SUM(L6:P6)</f>
        <v>0</v>
      </c>
      <c r="T6" s="232"/>
      <c r="U6" s="232">
        <f t="shared" ref="U6:U10" si="2">R6+S6</f>
        <v>743321.27</v>
      </c>
      <c r="V6" s="100"/>
      <c r="W6" s="236">
        <f t="shared" ref="W6:W10" si="3">U6*0.05</f>
        <v>37166.063500000004</v>
      </c>
      <c r="X6" s="236">
        <f t="shared" ref="X6:X10" si="4">U6*0.04</f>
        <v>29732.8508</v>
      </c>
      <c r="Y6" s="236">
        <f t="shared" ref="Y6:Y10" si="5">U6*0.01</f>
        <v>7433.2127</v>
      </c>
      <c r="Z6" s="236">
        <f t="shared" ref="Z6:Z10" si="6">U6*0.03</f>
        <v>22299.6381</v>
      </c>
      <c r="AA6" s="236">
        <f t="shared" ref="AA6:AA10" si="7">U6*0.005</f>
        <v>3716.60635</v>
      </c>
      <c r="AB6" s="100"/>
      <c r="AC6" s="240">
        <f t="shared" ref="AC6:AC9" si="8">R6+SUM(W6:AA6)</f>
        <v>843669.64145</v>
      </c>
      <c r="AD6" s="232">
        <v>0</v>
      </c>
      <c r="AE6" s="232">
        <f t="shared" si="0"/>
        <v>843669.64145</v>
      </c>
      <c r="AF6" s="230"/>
      <c r="AG6" s="236">
        <f t="shared" ref="AG6:AG10" si="9">AE6*0.268</f>
        <v>226103.46390860001</v>
      </c>
      <c r="AH6" s="100"/>
      <c r="AI6" s="232">
        <f t="shared" ref="AI6:AI10" si="10">AC6+AC6*0.268</f>
        <v>1069773.1053585999</v>
      </c>
      <c r="AJ6" s="232">
        <f t="shared" ref="AJ6:AJ10" si="11">AD6+AD6*0.268</f>
        <v>0</v>
      </c>
      <c r="AK6" s="230"/>
      <c r="AL6" s="232">
        <f t="shared" ref="AL6:AL10" si="12">SUM(AI6:AJ6)</f>
        <v>1069773.1053585999</v>
      </c>
      <c r="AM6" s="100"/>
      <c r="AN6" s="231">
        <f>AL6/G6</f>
        <v>62927.829726976466</v>
      </c>
      <c r="AO6" s="20"/>
    </row>
    <row r="7" spans="1:42" x14ac:dyDescent="0.25">
      <c r="A7" s="100">
        <v>1</v>
      </c>
      <c r="B7" s="100" t="str">
        <f>MID('01_Carvalho'!$D$67,16,6)</f>
        <v>A4S1R3</v>
      </c>
      <c r="C7" s="100" t="str">
        <f>RIGHT(B7,2)</f>
        <v>R3</v>
      </c>
      <c r="D7" s="100" t="str">
        <f>MID('01_Carvalho'!$C$3,51,9)</f>
        <v>Esperança</v>
      </c>
      <c r="E7" s="100" t="str">
        <f>MID('01_Carvalho'!$C$3,34,8)</f>
        <v>Carvalho</v>
      </c>
      <c r="F7" s="100"/>
      <c r="G7" s="100">
        <v>24</v>
      </c>
      <c r="H7" s="100"/>
      <c r="I7" s="100"/>
      <c r="J7" s="233">
        <f>'01_Carvalho'!M67</f>
        <v>357741.8</v>
      </c>
      <c r="K7" s="234"/>
      <c r="L7" s="235">
        <f>0</f>
        <v>0</v>
      </c>
      <c r="M7" s="233">
        <v>0</v>
      </c>
      <c r="N7" s="233">
        <v>0</v>
      </c>
      <c r="O7" s="233">
        <v>0</v>
      </c>
      <c r="P7" s="233">
        <v>0</v>
      </c>
      <c r="Q7" s="234"/>
      <c r="R7" s="232">
        <f>SUM(J7:J7)</f>
        <v>357741.8</v>
      </c>
      <c r="S7" s="232">
        <f t="shared" si="1"/>
        <v>0</v>
      </c>
      <c r="T7" s="232"/>
      <c r="U7" s="232">
        <f t="shared" si="2"/>
        <v>357741.8</v>
      </c>
      <c r="V7" s="100"/>
      <c r="W7" s="236">
        <f t="shared" si="3"/>
        <v>17887.09</v>
      </c>
      <c r="X7" s="236">
        <f t="shared" si="4"/>
        <v>14309.672</v>
      </c>
      <c r="Y7" s="236">
        <f t="shared" si="5"/>
        <v>3577.4180000000001</v>
      </c>
      <c r="Z7" s="236">
        <f t="shared" si="6"/>
        <v>10732.253999999999</v>
      </c>
      <c r="AA7" s="236">
        <f t="shared" si="7"/>
        <v>1788.7090000000001</v>
      </c>
      <c r="AB7" s="100"/>
      <c r="AC7" s="240">
        <f t="shared" si="8"/>
        <v>406036.94299999997</v>
      </c>
      <c r="AD7" s="232">
        <v>0</v>
      </c>
      <c r="AE7" s="232">
        <f t="shared" si="0"/>
        <v>406036.94299999997</v>
      </c>
      <c r="AF7" s="230"/>
      <c r="AG7" s="236">
        <f t="shared" si="9"/>
        <v>108817.90072399999</v>
      </c>
      <c r="AH7" s="100"/>
      <c r="AI7" s="232">
        <f t="shared" si="10"/>
        <v>514854.84372399998</v>
      </c>
      <c r="AJ7" s="232">
        <f t="shared" si="11"/>
        <v>0</v>
      </c>
      <c r="AK7" s="230"/>
      <c r="AL7" s="232">
        <f t="shared" si="12"/>
        <v>514854.84372399998</v>
      </c>
      <c r="AM7" s="100"/>
      <c r="AN7" s="231">
        <f>AL7/G7</f>
        <v>21452.285155166664</v>
      </c>
      <c r="AO7" s="20"/>
    </row>
    <row r="8" spans="1:42" x14ac:dyDescent="0.25">
      <c r="A8" s="100">
        <v>1</v>
      </c>
      <c r="B8" s="100" t="str">
        <f>MID('01_Carvalho'!$D$87,16,6)</f>
        <v>A4S2R4</v>
      </c>
      <c r="C8" s="100" t="str">
        <f>RIGHT(B8,2)</f>
        <v>R4</v>
      </c>
      <c r="D8" s="100" t="str">
        <f>MID('01_Carvalho'!$C$3,51,9)</f>
        <v>Esperança</v>
      </c>
      <c r="E8" s="100" t="str">
        <f>MID('01_Carvalho'!$C$3,34,8)</f>
        <v>Carvalho</v>
      </c>
      <c r="F8" s="100"/>
      <c r="G8" s="100">
        <v>24</v>
      </c>
      <c r="H8" s="100"/>
      <c r="I8" s="100"/>
      <c r="J8" s="233">
        <f>'01_Carvalho'!M87</f>
        <v>171290.91</v>
      </c>
      <c r="K8" s="234"/>
      <c r="L8" s="235">
        <f>0</f>
        <v>0</v>
      </c>
      <c r="M8" s="233">
        <v>0</v>
      </c>
      <c r="N8" s="233">
        <v>0</v>
      </c>
      <c r="O8" s="233">
        <v>0</v>
      </c>
      <c r="P8" s="233">
        <v>0</v>
      </c>
      <c r="Q8" s="234"/>
      <c r="R8" s="232">
        <f>SUM(J8:J8)</f>
        <v>171290.91</v>
      </c>
      <c r="S8" s="232">
        <f t="shared" si="1"/>
        <v>0</v>
      </c>
      <c r="T8" s="232"/>
      <c r="U8" s="232">
        <f t="shared" si="2"/>
        <v>171290.91</v>
      </c>
      <c r="V8" s="100"/>
      <c r="W8" s="236">
        <f t="shared" si="3"/>
        <v>8564.5455000000002</v>
      </c>
      <c r="X8" s="236">
        <f t="shared" si="4"/>
        <v>6851.6364000000003</v>
      </c>
      <c r="Y8" s="236">
        <f t="shared" si="5"/>
        <v>1712.9091000000001</v>
      </c>
      <c r="Z8" s="236">
        <f t="shared" si="6"/>
        <v>5138.7272999999996</v>
      </c>
      <c r="AA8" s="236">
        <f t="shared" si="7"/>
        <v>856.45455000000004</v>
      </c>
      <c r="AB8" s="100"/>
      <c r="AC8" s="240">
        <f t="shared" si="8"/>
        <v>194415.18285000001</v>
      </c>
      <c r="AD8" s="232">
        <v>0</v>
      </c>
      <c r="AE8" s="232">
        <f t="shared" si="0"/>
        <v>194415.18285000001</v>
      </c>
      <c r="AF8" s="230"/>
      <c r="AG8" s="236">
        <f t="shared" si="9"/>
        <v>52103.269003800007</v>
      </c>
      <c r="AH8" s="100"/>
      <c r="AI8" s="232">
        <f t="shared" si="10"/>
        <v>246518.45185380001</v>
      </c>
      <c r="AJ8" s="232">
        <f t="shared" si="11"/>
        <v>0</v>
      </c>
      <c r="AK8" s="230"/>
      <c r="AL8" s="232">
        <f t="shared" si="12"/>
        <v>246518.45185380001</v>
      </c>
      <c r="AM8" s="100"/>
      <c r="AN8" s="231">
        <f>AL8/G8</f>
        <v>10271.602160575001</v>
      </c>
      <c r="AO8" s="20"/>
    </row>
    <row r="9" spans="1:42" x14ac:dyDescent="0.25">
      <c r="A9" s="100">
        <v>1</v>
      </c>
      <c r="B9" s="100" t="str">
        <f>MID('01_Carvalho'!$D$125,16,6)</f>
        <v>A5S2R3</v>
      </c>
      <c r="C9" s="100" t="str">
        <f>RIGHT(B9,2)</f>
        <v>R3</v>
      </c>
      <c r="D9" s="100" t="str">
        <f>MID('01_Carvalho'!$C$3,51,9)</f>
        <v>Esperança</v>
      </c>
      <c r="E9" s="100" t="str">
        <f>MID('01_Carvalho'!$C$3,34,8)</f>
        <v>Carvalho</v>
      </c>
      <c r="F9" s="100"/>
      <c r="G9" s="100">
        <v>35</v>
      </c>
      <c r="H9" s="100"/>
      <c r="I9" s="100"/>
      <c r="J9" s="233">
        <f>'01_Carvalho'!M125</f>
        <v>246744.40000000002</v>
      </c>
      <c r="K9" s="234"/>
      <c r="L9" s="235">
        <f>0</f>
        <v>0</v>
      </c>
      <c r="M9" s="233">
        <v>0</v>
      </c>
      <c r="N9" s="233">
        <v>0</v>
      </c>
      <c r="O9" s="233">
        <v>0</v>
      </c>
      <c r="P9" s="233">
        <v>0</v>
      </c>
      <c r="Q9" s="234"/>
      <c r="R9" s="232">
        <f>SUM(J9:J9)</f>
        <v>246744.40000000002</v>
      </c>
      <c r="S9" s="232">
        <f t="shared" si="1"/>
        <v>0</v>
      </c>
      <c r="T9" s="232"/>
      <c r="U9" s="232">
        <f t="shared" si="2"/>
        <v>246744.40000000002</v>
      </c>
      <c r="V9" s="100"/>
      <c r="W9" s="236">
        <f t="shared" si="3"/>
        <v>12337.220000000001</v>
      </c>
      <c r="X9" s="236">
        <f t="shared" si="4"/>
        <v>9869.7760000000017</v>
      </c>
      <c r="Y9" s="236">
        <f t="shared" si="5"/>
        <v>2467.4440000000004</v>
      </c>
      <c r="Z9" s="236">
        <f t="shared" si="6"/>
        <v>7402.3320000000003</v>
      </c>
      <c r="AA9" s="236">
        <f t="shared" si="7"/>
        <v>1233.7220000000002</v>
      </c>
      <c r="AB9" s="100"/>
      <c r="AC9" s="240">
        <f t="shared" si="8"/>
        <v>280054.89400000003</v>
      </c>
      <c r="AD9" s="232">
        <v>0</v>
      </c>
      <c r="AE9" s="232">
        <f t="shared" si="0"/>
        <v>280054.89400000003</v>
      </c>
      <c r="AF9" s="230"/>
      <c r="AG9" s="236">
        <f t="shared" si="9"/>
        <v>75054.711592000007</v>
      </c>
      <c r="AH9" s="100"/>
      <c r="AI9" s="232">
        <f t="shared" si="10"/>
        <v>355109.60559200007</v>
      </c>
      <c r="AJ9" s="232">
        <f t="shared" si="11"/>
        <v>0</v>
      </c>
      <c r="AK9" s="230"/>
      <c r="AL9" s="232">
        <f t="shared" si="12"/>
        <v>355109.60559200007</v>
      </c>
      <c r="AM9" s="100"/>
      <c r="AN9" s="231">
        <f>AL9/G9</f>
        <v>10145.988731200001</v>
      </c>
      <c r="AO9" s="20"/>
    </row>
    <row r="10" spans="1:42" x14ac:dyDescent="0.25">
      <c r="A10" s="100">
        <v>1</v>
      </c>
      <c r="B10" s="100" t="s">
        <v>754</v>
      </c>
      <c r="C10" s="100" t="s">
        <v>754</v>
      </c>
      <c r="D10" s="100" t="str">
        <f>MID('01_Carvalho'!$C$3,51,9)</f>
        <v>Esperança</v>
      </c>
      <c r="E10" s="100" t="str">
        <f>MID('01_Carvalho'!$C$3,34,8)</f>
        <v>Carvalho</v>
      </c>
      <c r="F10" s="100"/>
      <c r="G10" s="100"/>
      <c r="H10" s="100">
        <f>SUM(G5:G9)</f>
        <v>106</v>
      </c>
      <c r="I10" s="100"/>
      <c r="J10" s="233">
        <v>0</v>
      </c>
      <c r="K10" s="234"/>
      <c r="L10" s="235">
        <f>0</f>
        <v>0</v>
      </c>
      <c r="M10" s="233">
        <f>'01_Carvalho'!J143</f>
        <v>49097.71</v>
      </c>
      <c r="N10" s="233">
        <f>'01_Carvalho'!J148</f>
        <v>429182.43</v>
      </c>
      <c r="O10" s="233">
        <f>'01_Carvalho'!J168</f>
        <v>10287.16</v>
      </c>
      <c r="P10" s="233">
        <f>'01_Carvalho'!J171</f>
        <v>7816</v>
      </c>
      <c r="Q10" s="234"/>
      <c r="R10" s="237">
        <v>0</v>
      </c>
      <c r="S10" s="232">
        <f>SUM(L10:P10)</f>
        <v>496383.3</v>
      </c>
      <c r="T10" s="232"/>
      <c r="U10" s="232">
        <f t="shared" si="2"/>
        <v>496383.3</v>
      </c>
      <c r="V10" s="100"/>
      <c r="W10" s="236">
        <f t="shared" si="3"/>
        <v>24819.165000000001</v>
      </c>
      <c r="X10" s="236">
        <f t="shared" si="4"/>
        <v>19855.331999999999</v>
      </c>
      <c r="Y10" s="236">
        <f t="shared" si="5"/>
        <v>4963.8329999999996</v>
      </c>
      <c r="Z10" s="236">
        <f t="shared" si="6"/>
        <v>14891.499</v>
      </c>
      <c r="AA10" s="236">
        <f t="shared" si="7"/>
        <v>2481.9164999999998</v>
      </c>
      <c r="AB10" s="100"/>
      <c r="AC10" s="232">
        <v>0</v>
      </c>
      <c r="AD10" s="232">
        <f>S10+SUM(W10:AA10)</f>
        <v>563395.04550000001</v>
      </c>
      <c r="AE10" s="232">
        <f t="shared" si="0"/>
        <v>563395.04550000001</v>
      </c>
      <c r="AF10" s="230"/>
      <c r="AG10" s="236">
        <f t="shared" si="9"/>
        <v>150989.87219400003</v>
      </c>
      <c r="AH10" s="100"/>
      <c r="AI10" s="232">
        <f t="shared" si="10"/>
        <v>0</v>
      </c>
      <c r="AJ10" s="232">
        <f t="shared" si="11"/>
        <v>714384.91769400006</v>
      </c>
      <c r="AK10" s="230"/>
      <c r="AL10" s="232">
        <f t="shared" si="12"/>
        <v>714384.91769400006</v>
      </c>
      <c r="AM10" s="100"/>
      <c r="AN10" s="231">
        <f>AL10/H10</f>
        <v>6739.4803556037741</v>
      </c>
      <c r="AO10" s="20"/>
    </row>
    <row r="11" spans="1:42" x14ac:dyDescent="0.25">
      <c r="A11" s="100"/>
      <c r="B11" s="100"/>
      <c r="C11" s="100"/>
      <c r="D11" s="100"/>
      <c r="E11" s="100"/>
      <c r="F11" s="100"/>
      <c r="G11" s="100"/>
      <c r="H11" s="100"/>
      <c r="I11" s="100"/>
      <c r="J11" s="233"/>
      <c r="K11" s="234"/>
      <c r="L11" s="235"/>
      <c r="M11" s="233"/>
      <c r="N11" s="233"/>
      <c r="O11" s="233"/>
      <c r="P11" s="233"/>
      <c r="Q11" s="234"/>
      <c r="R11" s="232"/>
      <c r="S11" s="232"/>
      <c r="T11" s="232"/>
      <c r="U11" s="232"/>
      <c r="V11" s="100"/>
      <c r="W11" s="236"/>
      <c r="X11" s="236"/>
      <c r="Y11" s="236"/>
      <c r="Z11" s="236"/>
      <c r="AA11" s="236"/>
      <c r="AB11" s="100"/>
      <c r="AC11" s="232"/>
      <c r="AD11" s="232"/>
      <c r="AE11" s="232"/>
      <c r="AF11" s="230"/>
      <c r="AG11" s="236"/>
      <c r="AH11" s="100"/>
      <c r="AI11" s="232"/>
      <c r="AJ11" s="232"/>
      <c r="AK11" s="230"/>
      <c r="AL11" s="232"/>
      <c r="AM11" s="100"/>
      <c r="AN11" s="231"/>
      <c r="AO11" s="20"/>
    </row>
    <row r="12" spans="1:42" x14ac:dyDescent="0.25">
      <c r="A12" s="100">
        <v>1</v>
      </c>
      <c r="B12" s="100" t="str">
        <f>MID('02_Esperança'!$B$5,16,6)</f>
        <v>A1S2R4</v>
      </c>
      <c r="C12" s="100" t="str">
        <f>RIGHT(B12,2)</f>
        <v>R4</v>
      </c>
      <c r="D12" s="100" t="str">
        <f>MID('02_Esperança'!$A$3,51,10)</f>
        <v xml:space="preserve"> Esperança</v>
      </c>
      <c r="E12" s="100" t="str">
        <f>MID('02_Esperança'!$A$3,34,9)</f>
        <v>Esperança</v>
      </c>
      <c r="F12" s="100"/>
      <c r="G12" s="100">
        <v>76</v>
      </c>
      <c r="H12" s="100"/>
      <c r="I12" s="100"/>
      <c r="J12" s="233">
        <f>'02_Esperança'!K5</f>
        <v>99348.319999999992</v>
      </c>
      <c r="K12" s="234"/>
      <c r="L12" s="235">
        <v>0</v>
      </c>
      <c r="M12" s="233">
        <v>0</v>
      </c>
      <c r="N12" s="233">
        <v>0</v>
      </c>
      <c r="O12" s="233">
        <v>0</v>
      </c>
      <c r="P12" s="233">
        <v>0</v>
      </c>
      <c r="Q12" s="100"/>
      <c r="R12" s="232">
        <f>SUM(J12:J12)</f>
        <v>99348.319999999992</v>
      </c>
      <c r="S12" s="232">
        <f>SUM(M12:P12)</f>
        <v>0</v>
      </c>
      <c r="T12" s="232"/>
      <c r="U12" s="232">
        <f>R12+S12</f>
        <v>99348.319999999992</v>
      </c>
      <c r="V12" s="100"/>
      <c r="W12" s="236">
        <f>U12*0.05</f>
        <v>4967.4160000000002</v>
      </c>
      <c r="X12" s="236">
        <f>U12*0.04</f>
        <v>3973.9327999999996</v>
      </c>
      <c r="Y12" s="236">
        <f>U12*0.01</f>
        <v>993.4831999999999</v>
      </c>
      <c r="Z12" s="236">
        <f>U12*0.03</f>
        <v>2980.4495999999995</v>
      </c>
      <c r="AA12" s="236">
        <f>U12*0.005</f>
        <v>496.74159999999995</v>
      </c>
      <c r="AB12" s="100"/>
      <c r="AC12" s="240">
        <f>R12+SUM(W12:AA12)</f>
        <v>112760.34319999999</v>
      </c>
      <c r="AD12" s="232">
        <v>0</v>
      </c>
      <c r="AE12" s="232">
        <f>SUM(AC12:AD12)</f>
        <v>112760.34319999999</v>
      </c>
      <c r="AF12" s="230"/>
      <c r="AG12" s="236">
        <f>AE12*0.268</f>
        <v>30219.771977599998</v>
      </c>
      <c r="AH12" s="100"/>
      <c r="AI12" s="232">
        <f>AC12+AC12*0.268</f>
        <v>142980.11517759998</v>
      </c>
      <c r="AJ12" s="232">
        <f>AD12+AD12*0.268</f>
        <v>0</v>
      </c>
      <c r="AK12" s="230"/>
      <c r="AL12" s="232">
        <f>SUM(AI12:AJ12)</f>
        <v>142980.11517759998</v>
      </c>
      <c r="AM12" s="100"/>
      <c r="AN12" s="231">
        <f>AL12/G12</f>
        <v>1881.3173049684208</v>
      </c>
      <c r="AO12" s="20"/>
    </row>
    <row r="13" spans="1:42" x14ac:dyDescent="0.25">
      <c r="A13" s="100">
        <v>1</v>
      </c>
      <c r="B13" s="100" t="str">
        <f>MID('02_Esperança'!$B$36,16,6)</f>
        <v>A1S3R3</v>
      </c>
      <c r="C13" s="100" t="str">
        <f>RIGHT(B13,2)</f>
        <v>R3</v>
      </c>
      <c r="D13" s="100" t="str">
        <f>MID('02_Esperança'!$A$3,51,10)</f>
        <v xml:space="preserve"> Esperança</v>
      </c>
      <c r="E13" s="100" t="str">
        <f>MID('02_Esperança'!$A$3,34,9)</f>
        <v>Esperança</v>
      </c>
      <c r="F13" s="100"/>
      <c r="G13" s="100">
        <v>40</v>
      </c>
      <c r="H13" s="100"/>
      <c r="I13" s="100"/>
      <c r="J13" s="233">
        <f>'02_Esperança'!K36</f>
        <v>1422949.41</v>
      </c>
      <c r="K13" s="234"/>
      <c r="L13" s="235">
        <v>0</v>
      </c>
      <c r="M13" s="233">
        <v>0</v>
      </c>
      <c r="N13" s="233">
        <v>0</v>
      </c>
      <c r="O13" s="233">
        <v>0</v>
      </c>
      <c r="P13" s="233">
        <v>0</v>
      </c>
      <c r="Q13" s="234"/>
      <c r="R13" s="232">
        <f>SUM(J13:J13)</f>
        <v>1422949.41</v>
      </c>
      <c r="S13" s="232">
        <f>SUM(M13:P13)</f>
        <v>0</v>
      </c>
      <c r="T13" s="232"/>
      <c r="U13" s="232">
        <f t="shared" ref="U13:U31" si="13">R13+S13</f>
        <v>1422949.41</v>
      </c>
      <c r="V13" s="100"/>
      <c r="W13" s="236">
        <f t="shared" ref="W13:W31" si="14">U13*0.05</f>
        <v>71147.470499999996</v>
      </c>
      <c r="X13" s="236">
        <f t="shared" ref="X13:X31" si="15">U13*0.04</f>
        <v>56917.9764</v>
      </c>
      <c r="Y13" s="236">
        <f t="shared" ref="Y13:Y31" si="16">U13*0.01</f>
        <v>14229.4941</v>
      </c>
      <c r="Z13" s="236">
        <f t="shared" ref="Z13:Z31" si="17">U13*0.03</f>
        <v>42688.482299999996</v>
      </c>
      <c r="AA13" s="236">
        <f t="shared" ref="AA13:AA31" si="18">U13*0.005</f>
        <v>7114.7470499999999</v>
      </c>
      <c r="AB13" s="100"/>
      <c r="AC13" s="240">
        <f t="shared" ref="AC13:AC15" si="19">R13+SUM(W13:AA13)</f>
        <v>1615047.5803499999</v>
      </c>
      <c r="AD13" s="232">
        <v>0</v>
      </c>
      <c r="AE13" s="232">
        <f t="shared" ref="AE13:AE16" si="20">SUM(AC13:AD13)</f>
        <v>1615047.5803499999</v>
      </c>
      <c r="AF13" s="230"/>
      <c r="AG13" s="236">
        <f t="shared" ref="AG13:AG16" si="21">AE13*0.268</f>
        <v>432832.75153380004</v>
      </c>
      <c r="AH13" s="100"/>
      <c r="AI13" s="232">
        <f t="shared" ref="AI13:AI16" si="22">AC13+AC13*0.268</f>
        <v>2047880.3318838</v>
      </c>
      <c r="AJ13" s="232">
        <f t="shared" ref="AJ13:AJ16" si="23">AD13+AD13*0.268</f>
        <v>0</v>
      </c>
      <c r="AK13" s="230"/>
      <c r="AL13" s="232">
        <f t="shared" ref="AL13:AL16" si="24">SUM(AI13:AJ13)</f>
        <v>2047880.3318838</v>
      </c>
      <c r="AM13" s="100"/>
      <c r="AN13" s="231">
        <f>AL13/G13</f>
        <v>51197.008297095002</v>
      </c>
      <c r="AO13" s="20"/>
    </row>
    <row r="14" spans="1:42" x14ac:dyDescent="0.25">
      <c r="A14" s="100">
        <v>1</v>
      </c>
      <c r="B14" s="100" t="str">
        <f>MID('02_Esperança'!$B$74,16,6)</f>
        <v>A2S1R3</v>
      </c>
      <c r="C14" s="100" t="str">
        <f>RIGHT(B14,2)</f>
        <v>R3</v>
      </c>
      <c r="D14" s="100" t="str">
        <f>MID('02_Esperança'!$A$3,51,10)</f>
        <v xml:space="preserve"> Esperança</v>
      </c>
      <c r="E14" s="100" t="str">
        <f>MID('02_Esperança'!$A$3,34,9)</f>
        <v>Esperança</v>
      </c>
      <c r="F14" s="100"/>
      <c r="G14" s="100">
        <v>63</v>
      </c>
      <c r="H14" s="100"/>
      <c r="I14" s="100"/>
      <c r="J14" s="233">
        <f>'02_Esperança'!K74</f>
        <v>2394136.9</v>
      </c>
      <c r="K14" s="234"/>
      <c r="L14" s="235">
        <v>0</v>
      </c>
      <c r="M14" s="233">
        <v>0</v>
      </c>
      <c r="N14" s="233">
        <v>0</v>
      </c>
      <c r="O14" s="233">
        <v>0</v>
      </c>
      <c r="P14" s="233">
        <v>0</v>
      </c>
      <c r="Q14" s="234"/>
      <c r="R14" s="232">
        <f>SUM(J14:J14)</f>
        <v>2394136.9</v>
      </c>
      <c r="S14" s="232">
        <f>SUM(M14:P14)</f>
        <v>0</v>
      </c>
      <c r="T14" s="232"/>
      <c r="U14" s="232">
        <f t="shared" si="13"/>
        <v>2394136.9</v>
      </c>
      <c r="V14" s="100"/>
      <c r="W14" s="236">
        <f t="shared" si="14"/>
        <v>119706.845</v>
      </c>
      <c r="X14" s="236">
        <f t="shared" si="15"/>
        <v>95765.475999999995</v>
      </c>
      <c r="Y14" s="236">
        <f t="shared" si="16"/>
        <v>23941.368999999999</v>
      </c>
      <c r="Z14" s="236">
        <f t="shared" si="17"/>
        <v>71824.106999999989</v>
      </c>
      <c r="AA14" s="236">
        <f t="shared" si="18"/>
        <v>11970.684499999999</v>
      </c>
      <c r="AB14" s="100"/>
      <c r="AC14" s="240">
        <f t="shared" si="19"/>
        <v>2717345.3815000001</v>
      </c>
      <c r="AD14" s="232">
        <v>0</v>
      </c>
      <c r="AE14" s="232">
        <f t="shared" si="20"/>
        <v>2717345.3815000001</v>
      </c>
      <c r="AF14" s="230"/>
      <c r="AG14" s="236">
        <f t="shared" si="21"/>
        <v>728248.56224200013</v>
      </c>
      <c r="AH14" s="100"/>
      <c r="AI14" s="232">
        <f t="shared" si="22"/>
        <v>3445593.9437420005</v>
      </c>
      <c r="AJ14" s="232">
        <f t="shared" si="23"/>
        <v>0</v>
      </c>
      <c r="AK14" s="230"/>
      <c r="AL14" s="232">
        <f t="shared" si="24"/>
        <v>3445593.9437420005</v>
      </c>
      <c r="AM14" s="100"/>
      <c r="AN14" s="231">
        <f>AL14/G14</f>
        <v>54691.967360984134</v>
      </c>
      <c r="AO14" s="20"/>
    </row>
    <row r="15" spans="1:42" x14ac:dyDescent="0.25">
      <c r="A15" s="100">
        <v>1</v>
      </c>
      <c r="B15" s="100" t="str">
        <f>MID('02_Esperança'!$B$132,16,6)</f>
        <v>A4S1R3</v>
      </c>
      <c r="C15" s="100" t="str">
        <f>RIGHT(B15,2)</f>
        <v>R3</v>
      </c>
      <c r="D15" s="100" t="str">
        <f>MID('02_Esperança'!$A$3,51,10)</f>
        <v xml:space="preserve"> Esperança</v>
      </c>
      <c r="E15" s="100" t="str">
        <f>MID('02_Esperança'!$A$3,34,9)</f>
        <v>Esperança</v>
      </c>
      <c r="F15" s="100"/>
      <c r="G15" s="100">
        <v>44</v>
      </c>
      <c r="H15" s="100"/>
      <c r="I15" s="100"/>
      <c r="J15" s="233">
        <f>'02_Esperança'!K132</f>
        <v>1647346.78</v>
      </c>
      <c r="K15" s="234"/>
      <c r="L15" s="235">
        <v>0</v>
      </c>
      <c r="M15" s="233">
        <v>0</v>
      </c>
      <c r="N15" s="233">
        <v>0</v>
      </c>
      <c r="O15" s="233">
        <v>0</v>
      </c>
      <c r="P15" s="233">
        <v>0</v>
      </c>
      <c r="Q15" s="234"/>
      <c r="R15" s="232">
        <f>SUM(J15:J15)</f>
        <v>1647346.78</v>
      </c>
      <c r="S15" s="232">
        <f>SUM(M15:P15)</f>
        <v>0</v>
      </c>
      <c r="T15" s="232"/>
      <c r="U15" s="232">
        <f t="shared" si="13"/>
        <v>1647346.78</v>
      </c>
      <c r="V15" s="100"/>
      <c r="W15" s="236">
        <f t="shared" si="14"/>
        <v>82367.339000000007</v>
      </c>
      <c r="X15" s="236">
        <f t="shared" si="15"/>
        <v>65893.871200000009</v>
      </c>
      <c r="Y15" s="236">
        <f t="shared" si="16"/>
        <v>16473.467800000002</v>
      </c>
      <c r="Z15" s="236">
        <f t="shared" si="17"/>
        <v>49420.403399999996</v>
      </c>
      <c r="AA15" s="236">
        <f t="shared" si="18"/>
        <v>8236.7339000000011</v>
      </c>
      <c r="AB15" s="100"/>
      <c r="AC15" s="240">
        <f t="shared" si="19"/>
        <v>1869738.5953000002</v>
      </c>
      <c r="AD15" s="232">
        <v>0</v>
      </c>
      <c r="AE15" s="232">
        <f t="shared" si="20"/>
        <v>1869738.5953000002</v>
      </c>
      <c r="AF15" s="230"/>
      <c r="AG15" s="236">
        <f t="shared" si="21"/>
        <v>501089.94354040007</v>
      </c>
      <c r="AH15" s="100"/>
      <c r="AI15" s="232">
        <f t="shared" si="22"/>
        <v>2370828.5388404001</v>
      </c>
      <c r="AJ15" s="232">
        <f t="shared" si="23"/>
        <v>0</v>
      </c>
      <c r="AK15" s="230"/>
      <c r="AL15" s="232">
        <f t="shared" si="24"/>
        <v>2370828.5388404001</v>
      </c>
      <c r="AM15" s="100"/>
      <c r="AN15" s="231">
        <f>AL15/G15</f>
        <v>53882.466791827275</v>
      </c>
      <c r="AO15" s="20"/>
    </row>
    <row r="16" spans="1:42" x14ac:dyDescent="0.25">
      <c r="A16" s="100">
        <v>1</v>
      </c>
      <c r="B16" s="100" t="s">
        <v>754</v>
      </c>
      <c r="C16" s="100" t="str">
        <f>RIGHT(B16,2)</f>
        <v>-</v>
      </c>
      <c r="D16" s="100" t="str">
        <f>MID('02_Esperança'!$A$3,51,10)</f>
        <v xml:space="preserve"> Esperança</v>
      </c>
      <c r="E16" s="100" t="str">
        <f>MID('02_Esperança'!$A$3,34,9)</f>
        <v>Esperança</v>
      </c>
      <c r="F16" s="100"/>
      <c r="G16" s="100"/>
      <c r="H16" s="100">
        <f>SUM(G12:G15)</f>
        <v>223</v>
      </c>
      <c r="I16" s="100"/>
      <c r="J16" s="233">
        <v>0</v>
      </c>
      <c r="K16" s="234"/>
      <c r="L16" s="235">
        <f>'02_Esperança'!H164</f>
        <v>121034.78</v>
      </c>
      <c r="M16" s="233">
        <f>'02_Esperança'!H177</f>
        <v>84077.4</v>
      </c>
      <c r="N16" s="233">
        <f>'02_Esperança'!H182</f>
        <v>1791988.54</v>
      </c>
      <c r="O16" s="233">
        <f>'02_Esperança'!H202</f>
        <v>36357.360000000001</v>
      </c>
      <c r="P16" s="233">
        <f>'02_Esperança'!H205</f>
        <v>7316</v>
      </c>
      <c r="Q16" s="234"/>
      <c r="R16" s="232">
        <f>SUM(J16:J16)</f>
        <v>0</v>
      </c>
      <c r="S16" s="232">
        <f>SUM(L16:P16)</f>
        <v>2040774.08</v>
      </c>
      <c r="T16" s="232"/>
      <c r="U16" s="232">
        <f t="shared" si="13"/>
        <v>2040774.08</v>
      </c>
      <c r="V16" s="100"/>
      <c r="W16" s="236">
        <f t="shared" si="14"/>
        <v>102038.70400000001</v>
      </c>
      <c r="X16" s="236">
        <f t="shared" si="15"/>
        <v>81630.963199999998</v>
      </c>
      <c r="Y16" s="236">
        <f t="shared" si="16"/>
        <v>20407.7408</v>
      </c>
      <c r="Z16" s="236">
        <f t="shared" si="17"/>
        <v>61223.222399999999</v>
      </c>
      <c r="AA16" s="236">
        <f t="shared" si="18"/>
        <v>10203.8704</v>
      </c>
      <c r="AB16" s="100"/>
      <c r="AC16" s="232">
        <v>0</v>
      </c>
      <c r="AD16" s="232">
        <f>S16+SUM(W16:AA16)</f>
        <v>2316278.5808000001</v>
      </c>
      <c r="AE16" s="232">
        <f t="shared" si="20"/>
        <v>2316278.5808000001</v>
      </c>
      <c r="AF16" s="230"/>
      <c r="AG16" s="236">
        <f t="shared" si="21"/>
        <v>620762.65965440008</v>
      </c>
      <c r="AH16" s="100"/>
      <c r="AI16" s="232">
        <f t="shared" si="22"/>
        <v>0</v>
      </c>
      <c r="AJ16" s="232">
        <f t="shared" si="23"/>
        <v>2937041.2404544</v>
      </c>
      <c r="AK16" s="230"/>
      <c r="AL16" s="232">
        <f t="shared" si="24"/>
        <v>2937041.2404544</v>
      </c>
      <c r="AM16" s="100"/>
      <c r="AN16" s="231">
        <f>AL16/H16</f>
        <v>13170.58852221704</v>
      </c>
      <c r="AO16" s="20"/>
    </row>
    <row r="17" spans="1:41" x14ac:dyDescent="0.25">
      <c r="A17" s="100"/>
      <c r="B17" s="100"/>
      <c r="C17" s="100"/>
      <c r="D17" s="100"/>
      <c r="E17" s="100"/>
      <c r="F17" s="100"/>
      <c r="G17" s="100"/>
      <c r="H17" s="100"/>
      <c r="I17" s="100"/>
      <c r="J17" s="233"/>
      <c r="K17" s="234"/>
      <c r="L17" s="235"/>
      <c r="M17" s="233"/>
      <c r="N17" s="233"/>
      <c r="O17" s="233"/>
      <c r="P17" s="233"/>
      <c r="Q17" s="234"/>
      <c r="R17" s="232"/>
      <c r="S17" s="232"/>
      <c r="T17" s="232"/>
      <c r="U17" s="232"/>
      <c r="V17" s="100"/>
      <c r="W17" s="236"/>
      <c r="X17" s="236"/>
      <c r="Y17" s="236"/>
      <c r="Z17" s="236"/>
      <c r="AA17" s="236"/>
      <c r="AB17" s="100"/>
      <c r="AC17" s="232"/>
      <c r="AD17" s="232"/>
      <c r="AE17" s="232"/>
      <c r="AF17" s="230"/>
      <c r="AG17" s="236"/>
      <c r="AH17" s="100"/>
      <c r="AI17" s="232"/>
      <c r="AJ17" s="232"/>
      <c r="AK17" s="230"/>
      <c r="AL17" s="232"/>
      <c r="AM17" s="100"/>
      <c r="AN17" s="231"/>
      <c r="AO17" s="20"/>
    </row>
    <row r="18" spans="1:41" x14ac:dyDescent="0.25">
      <c r="A18" s="100">
        <v>1</v>
      </c>
      <c r="B18" s="100" t="str">
        <f>MID('03_Aureliano'!$B$5,16,6)</f>
        <v>A1S1R4</v>
      </c>
      <c r="C18" s="100" t="str">
        <f>RIGHT(B18,2)</f>
        <v>R4</v>
      </c>
      <c r="D18" s="100" t="str">
        <f>MID('03_Aureliano'!$A$3,49,9)</f>
        <v>Esperança</v>
      </c>
      <c r="E18" s="100" t="str">
        <f>MID('03_Aureliano'!$A$3,31,9)</f>
        <v>Aureliano</v>
      </c>
      <c r="F18" s="100"/>
      <c r="G18" s="100">
        <v>58</v>
      </c>
      <c r="H18" s="100"/>
      <c r="I18" s="100"/>
      <c r="J18" s="233">
        <f>'03_Aureliano'!K5</f>
        <v>3705680.7100000004</v>
      </c>
      <c r="K18" s="234"/>
      <c r="L18" s="235">
        <v>0</v>
      </c>
      <c r="M18" s="233">
        <v>0</v>
      </c>
      <c r="N18" s="233">
        <v>0</v>
      </c>
      <c r="O18" s="233">
        <v>0</v>
      </c>
      <c r="P18" s="233">
        <v>0</v>
      </c>
      <c r="Q18" s="100"/>
      <c r="R18" s="232">
        <f>SUM(J18:J18)</f>
        <v>3705680.7100000004</v>
      </c>
      <c r="S18" s="232">
        <f>SUM(L18:P18)</f>
        <v>0</v>
      </c>
      <c r="T18" s="232"/>
      <c r="U18" s="232">
        <f>R18+S18</f>
        <v>3705680.7100000004</v>
      </c>
      <c r="V18" s="100"/>
      <c r="W18" s="236">
        <f>U18*0.05</f>
        <v>185284.03550000003</v>
      </c>
      <c r="X18" s="236">
        <f>U18*0.04</f>
        <v>148227.22840000002</v>
      </c>
      <c r="Y18" s="236">
        <f>U18*0.01</f>
        <v>37056.807100000005</v>
      </c>
      <c r="Z18" s="236">
        <f>U18*0.03</f>
        <v>111170.4213</v>
      </c>
      <c r="AA18" s="236">
        <f>U18*0.005</f>
        <v>18528.403550000003</v>
      </c>
      <c r="AB18" s="100"/>
      <c r="AC18" s="240">
        <f>R18+SUM(W18:AA18)</f>
        <v>4205947.6058499999</v>
      </c>
      <c r="AD18" s="232">
        <v>0</v>
      </c>
      <c r="AE18" s="232">
        <f>SUM(AC18:AD18)</f>
        <v>4205947.6058499999</v>
      </c>
      <c r="AF18" s="230"/>
      <c r="AG18" s="236">
        <f>AE18*0.268</f>
        <v>1127193.9583678001</v>
      </c>
      <c r="AH18" s="100"/>
      <c r="AI18" s="232">
        <f>AC18+AC18*0.268</f>
        <v>5333141.5642178003</v>
      </c>
      <c r="AJ18" s="232">
        <f>AD18+AD18*0.268</f>
        <v>0</v>
      </c>
      <c r="AK18" s="230"/>
      <c r="AL18" s="232">
        <f>SUM(AI18:AJ18)</f>
        <v>5333141.5642178003</v>
      </c>
      <c r="AM18" s="100"/>
      <c r="AN18" s="231">
        <f>AL18/G18</f>
        <v>91950.716624444831</v>
      </c>
      <c r="AO18" s="20"/>
    </row>
    <row r="19" spans="1:41" x14ac:dyDescent="0.25">
      <c r="A19" s="100">
        <v>1</v>
      </c>
      <c r="B19" s="100" t="str">
        <f>MID('03_Aureliano'!$B$63,16,6)</f>
        <v>A2S1R3</v>
      </c>
      <c r="C19" s="100" t="str">
        <f t="shared" ref="C19:C20" si="25">RIGHT(B19,2)</f>
        <v>R3</v>
      </c>
      <c r="D19" s="100" t="str">
        <f>MID('03_Aureliano'!$A$3,49,9)</f>
        <v>Esperança</v>
      </c>
      <c r="E19" s="100" t="str">
        <f>MID('03_Aureliano'!$A$3,31,9)</f>
        <v>Aureliano</v>
      </c>
      <c r="F19" s="100"/>
      <c r="G19" s="100">
        <v>22</v>
      </c>
      <c r="H19" s="100"/>
      <c r="I19" s="100"/>
      <c r="J19" s="233">
        <f>'03_Aureliano'!K63</f>
        <v>1052807.1100000001</v>
      </c>
      <c r="K19" s="234"/>
      <c r="L19" s="235">
        <v>0</v>
      </c>
      <c r="M19" s="233">
        <v>0</v>
      </c>
      <c r="N19" s="233">
        <v>0</v>
      </c>
      <c r="O19" s="233">
        <v>0</v>
      </c>
      <c r="P19" s="233">
        <v>0</v>
      </c>
      <c r="Q19" s="234"/>
      <c r="R19" s="232">
        <f>SUM(J19:J19)</f>
        <v>1052807.1100000001</v>
      </c>
      <c r="S19" s="232">
        <f t="shared" ref="S19:S21" si="26">SUM(L19:P19)</f>
        <v>0</v>
      </c>
      <c r="T19" s="232"/>
      <c r="U19" s="232">
        <f t="shared" si="13"/>
        <v>1052807.1100000001</v>
      </c>
      <c r="V19" s="100"/>
      <c r="W19" s="236">
        <f t="shared" si="14"/>
        <v>52640.355500000005</v>
      </c>
      <c r="X19" s="236">
        <f t="shared" si="15"/>
        <v>42112.284400000004</v>
      </c>
      <c r="Y19" s="236">
        <f t="shared" si="16"/>
        <v>10528.071100000001</v>
      </c>
      <c r="Z19" s="236">
        <f t="shared" si="17"/>
        <v>31584.213300000003</v>
      </c>
      <c r="AA19" s="236">
        <f t="shared" si="18"/>
        <v>5264.0355500000005</v>
      </c>
      <c r="AB19" s="100"/>
      <c r="AC19" s="240">
        <f t="shared" ref="AC19:AC20" si="27">R19+SUM(W19:AA19)</f>
        <v>1194936.0698500001</v>
      </c>
      <c r="AD19" s="232">
        <v>0</v>
      </c>
      <c r="AE19" s="232">
        <f t="shared" ref="AE19:AE21" si="28">SUM(AC19:AD19)</f>
        <v>1194936.0698500001</v>
      </c>
      <c r="AF19" s="230"/>
      <c r="AG19" s="236">
        <f t="shared" ref="AG19:AG21" si="29">AE19*0.268</f>
        <v>320242.86671980005</v>
      </c>
      <c r="AH19" s="100"/>
      <c r="AI19" s="232">
        <f t="shared" ref="AI19:AI21" si="30">AC19+AC19*0.268</f>
        <v>1515178.9365698001</v>
      </c>
      <c r="AJ19" s="232">
        <f t="shared" ref="AJ19:AJ21" si="31">AD19+AD19*0.268</f>
        <v>0</v>
      </c>
      <c r="AK19" s="230"/>
      <c r="AL19" s="232">
        <f t="shared" ref="AL19:AL21" si="32">SUM(AI19:AJ19)</f>
        <v>1515178.9365698001</v>
      </c>
      <c r="AM19" s="100"/>
      <c r="AN19" s="231">
        <f>AL19/G19</f>
        <v>68871.76984408182</v>
      </c>
      <c r="AO19" s="20"/>
    </row>
    <row r="20" spans="1:41" x14ac:dyDescent="0.25">
      <c r="A20" s="100">
        <v>1</v>
      </c>
      <c r="B20" s="100" t="str">
        <f>MID('03_Aureliano'!$B$92,16,6)</f>
        <v>A2S3R3</v>
      </c>
      <c r="C20" s="100" t="str">
        <f t="shared" si="25"/>
        <v>R3</v>
      </c>
      <c r="D20" s="100" t="str">
        <f>MID('03_Aureliano'!$A$3,49,9)</f>
        <v>Esperança</v>
      </c>
      <c r="E20" s="100" t="str">
        <f>MID('03_Aureliano'!$A$3,31,9)</f>
        <v>Aureliano</v>
      </c>
      <c r="F20" s="100"/>
      <c r="G20" s="100">
        <v>31</v>
      </c>
      <c r="H20" s="100"/>
      <c r="I20" s="100"/>
      <c r="J20" s="233">
        <f>'03_Aureliano'!K92</f>
        <v>473053.68999999994</v>
      </c>
      <c r="K20" s="234"/>
      <c r="L20" s="235">
        <v>0</v>
      </c>
      <c r="M20" s="233">
        <v>0</v>
      </c>
      <c r="N20" s="233">
        <v>0</v>
      </c>
      <c r="O20" s="233">
        <v>0</v>
      </c>
      <c r="P20" s="233">
        <v>0</v>
      </c>
      <c r="Q20" s="234"/>
      <c r="R20" s="232">
        <f>SUM(J20:J20)</f>
        <v>473053.68999999994</v>
      </c>
      <c r="S20" s="232">
        <f t="shared" si="26"/>
        <v>0</v>
      </c>
      <c r="T20" s="232"/>
      <c r="U20" s="232">
        <f t="shared" si="13"/>
        <v>473053.68999999994</v>
      </c>
      <c r="V20" s="100"/>
      <c r="W20" s="236">
        <f t="shared" si="14"/>
        <v>23652.684499999999</v>
      </c>
      <c r="X20" s="236">
        <f t="shared" si="15"/>
        <v>18922.147599999997</v>
      </c>
      <c r="Y20" s="236">
        <f t="shared" si="16"/>
        <v>4730.5368999999992</v>
      </c>
      <c r="Z20" s="236">
        <f t="shared" si="17"/>
        <v>14191.610699999997</v>
      </c>
      <c r="AA20" s="236">
        <f t="shared" si="18"/>
        <v>2365.2684499999996</v>
      </c>
      <c r="AB20" s="100"/>
      <c r="AC20" s="240">
        <f t="shared" si="27"/>
        <v>536915.93814999994</v>
      </c>
      <c r="AD20" s="232">
        <v>0</v>
      </c>
      <c r="AE20" s="232">
        <f t="shared" si="28"/>
        <v>536915.93814999994</v>
      </c>
      <c r="AF20" s="230"/>
      <c r="AG20" s="236">
        <f t="shared" si="29"/>
        <v>143893.47142419999</v>
      </c>
      <c r="AH20" s="100"/>
      <c r="AI20" s="232">
        <f t="shared" si="30"/>
        <v>680809.40957419993</v>
      </c>
      <c r="AJ20" s="232">
        <f t="shared" si="31"/>
        <v>0</v>
      </c>
      <c r="AK20" s="230"/>
      <c r="AL20" s="232">
        <f t="shared" si="32"/>
        <v>680809.40957419993</v>
      </c>
      <c r="AM20" s="100"/>
      <c r="AN20" s="231">
        <f>AL20/G20</f>
        <v>21961.593857232256</v>
      </c>
      <c r="AO20" s="20"/>
    </row>
    <row r="21" spans="1:41" x14ac:dyDescent="0.25">
      <c r="A21" s="100"/>
      <c r="B21" s="100"/>
      <c r="C21" s="100"/>
      <c r="D21" s="100"/>
      <c r="E21" s="100"/>
      <c r="F21" s="100"/>
      <c r="G21" s="100"/>
      <c r="H21" s="100">
        <f>SUM(G18:G20)</f>
        <v>111</v>
      </c>
      <c r="I21" s="100"/>
      <c r="J21" s="233">
        <v>0</v>
      </c>
      <c r="K21" s="234"/>
      <c r="L21" s="235">
        <f>'03_Aureliano'!H120</f>
        <v>105476.46</v>
      </c>
      <c r="M21" s="233">
        <f>'03_Aureliano'!H133</f>
        <v>1018718.16</v>
      </c>
      <c r="N21" s="233">
        <f>'03_Aureliano'!H141</f>
        <v>333735.71000000002</v>
      </c>
      <c r="O21" s="233">
        <f>'03_Aureliano'!H145</f>
        <v>44671.64</v>
      </c>
      <c r="P21" s="233">
        <v>0</v>
      </c>
      <c r="Q21" s="234"/>
      <c r="R21" s="232">
        <f>SUM(J21:J21)</f>
        <v>0</v>
      </c>
      <c r="S21" s="232">
        <f t="shared" si="26"/>
        <v>1502601.97</v>
      </c>
      <c r="T21" s="232"/>
      <c r="U21" s="232">
        <f t="shared" si="13"/>
        <v>1502601.97</v>
      </c>
      <c r="V21" s="100"/>
      <c r="W21" s="236">
        <f t="shared" si="14"/>
        <v>75130.098500000007</v>
      </c>
      <c r="X21" s="236">
        <f t="shared" si="15"/>
        <v>60104.078800000003</v>
      </c>
      <c r="Y21" s="236">
        <f t="shared" si="16"/>
        <v>15026.019700000001</v>
      </c>
      <c r="Z21" s="236">
        <f t="shared" si="17"/>
        <v>45078.059099999999</v>
      </c>
      <c r="AA21" s="236">
        <f t="shared" si="18"/>
        <v>7513.0098500000004</v>
      </c>
      <c r="AB21" s="100"/>
      <c r="AC21" s="232">
        <v>0</v>
      </c>
      <c r="AD21" s="232">
        <f>S21+SUM(W21:AA21)</f>
        <v>1705453.2359499999</v>
      </c>
      <c r="AE21" s="232">
        <f t="shared" si="28"/>
        <v>1705453.2359499999</v>
      </c>
      <c r="AF21" s="230"/>
      <c r="AG21" s="236">
        <f t="shared" si="29"/>
        <v>457061.46723459999</v>
      </c>
      <c r="AH21" s="100"/>
      <c r="AI21" s="232">
        <f t="shared" si="30"/>
        <v>0</v>
      </c>
      <c r="AJ21" s="232">
        <f t="shared" si="31"/>
        <v>2162514.7031846</v>
      </c>
      <c r="AK21" s="230"/>
      <c r="AL21" s="232">
        <f t="shared" si="32"/>
        <v>2162514.7031846</v>
      </c>
      <c r="AM21" s="100"/>
      <c r="AN21" s="233">
        <f>AL21/H21</f>
        <v>19482.114443104503</v>
      </c>
      <c r="AO21" s="20"/>
    </row>
    <row r="22" spans="1:41" x14ac:dyDescent="0.25">
      <c r="A22" s="100"/>
      <c r="B22" s="100"/>
      <c r="C22" s="100"/>
      <c r="D22" s="100"/>
      <c r="E22" s="100"/>
      <c r="F22" s="100"/>
      <c r="G22" s="100"/>
      <c r="H22" s="100"/>
      <c r="I22" s="100"/>
      <c r="J22" s="233"/>
      <c r="K22" s="234"/>
      <c r="L22" s="233"/>
      <c r="M22" s="233"/>
      <c r="N22" s="233"/>
      <c r="O22" s="233"/>
      <c r="P22" s="233"/>
      <c r="Q22" s="234"/>
      <c r="R22" s="232"/>
      <c r="S22" s="232"/>
      <c r="T22" s="232"/>
      <c r="U22" s="232"/>
      <c r="V22" s="100"/>
      <c r="W22" s="236"/>
      <c r="X22" s="236"/>
      <c r="Y22" s="236"/>
      <c r="Z22" s="236"/>
      <c r="AA22" s="236"/>
      <c r="AB22" s="100"/>
      <c r="AC22" s="232"/>
      <c r="AD22" s="232"/>
      <c r="AE22" s="232"/>
      <c r="AF22" s="230"/>
      <c r="AG22" s="236"/>
      <c r="AH22" s="100"/>
      <c r="AI22" s="232"/>
      <c r="AJ22" s="232"/>
      <c r="AK22" s="230"/>
      <c r="AL22" s="232"/>
      <c r="AM22" s="100"/>
      <c r="AN22" s="231"/>
      <c r="AO22" s="20"/>
    </row>
    <row r="23" spans="1:41" x14ac:dyDescent="0.25">
      <c r="A23" s="100">
        <v>1</v>
      </c>
      <c r="B23" s="100" t="str">
        <f>MID('04_Seringal'!$B$5,16,6)</f>
        <v>A2S1R3</v>
      </c>
      <c r="C23" s="100" t="str">
        <f>RIGHT(B23,2)</f>
        <v>R3</v>
      </c>
      <c r="D23" s="100" t="str">
        <f>MID('04_Seringal'!$A$3,51,9)</f>
        <v>Esperança</v>
      </c>
      <c r="E23" s="100" t="str">
        <f>MID('04_Seringal'!$A$3,34,9)</f>
        <v xml:space="preserve">Seringal </v>
      </c>
      <c r="F23" s="100"/>
      <c r="G23" s="100">
        <v>30</v>
      </c>
      <c r="H23" s="100"/>
      <c r="I23" s="100"/>
      <c r="J23" s="233">
        <f>'04_Seringal'!K5</f>
        <v>459537.89</v>
      </c>
      <c r="K23" s="234"/>
      <c r="L23" s="235">
        <v>0</v>
      </c>
      <c r="M23" s="233">
        <v>0</v>
      </c>
      <c r="N23" s="233">
        <v>0</v>
      </c>
      <c r="O23" s="233">
        <v>0</v>
      </c>
      <c r="P23" s="233">
        <v>0</v>
      </c>
      <c r="Q23" s="100"/>
      <c r="R23" s="232">
        <f>SUM(J23:J23)</f>
        <v>459537.89</v>
      </c>
      <c r="S23" s="232">
        <f>SUM(L23:P23)</f>
        <v>0</v>
      </c>
      <c r="T23" s="232"/>
      <c r="U23" s="232">
        <f>R23+S23</f>
        <v>459537.89</v>
      </c>
      <c r="V23" s="100"/>
      <c r="W23" s="236">
        <f>U23*0.05</f>
        <v>22976.894500000002</v>
      </c>
      <c r="X23" s="236">
        <f>U23*0.04</f>
        <v>18381.515600000002</v>
      </c>
      <c r="Y23" s="236">
        <f>U23*0.01</f>
        <v>4595.3789000000006</v>
      </c>
      <c r="Z23" s="236">
        <f>U23*0.03</f>
        <v>13786.136699999999</v>
      </c>
      <c r="AA23" s="236">
        <f>U23*0.005</f>
        <v>2297.6894500000003</v>
      </c>
      <c r="AB23" s="100"/>
      <c r="AC23" s="240">
        <f>R23+SUM(W23:AA23)</f>
        <v>521575.50515000004</v>
      </c>
      <c r="AD23" s="232">
        <v>0</v>
      </c>
      <c r="AE23" s="232">
        <f>SUM(AC23:AD23)</f>
        <v>521575.50515000004</v>
      </c>
      <c r="AF23" s="230"/>
      <c r="AG23" s="236">
        <f>AE23*0.268</f>
        <v>139782.23538020003</v>
      </c>
      <c r="AH23" s="100"/>
      <c r="AI23" s="232">
        <f>AC23+AC23*0.268</f>
        <v>661357.74053020007</v>
      </c>
      <c r="AJ23" s="232">
        <f>AD23+AD23*0.268</f>
        <v>0</v>
      </c>
      <c r="AK23" s="230"/>
      <c r="AL23" s="232">
        <f>SUM(AI23:AJ23)</f>
        <v>661357.74053020007</v>
      </c>
      <c r="AM23" s="100"/>
      <c r="AN23" s="231">
        <f>AL23/G23</f>
        <v>22045.258017673335</v>
      </c>
      <c r="AO23" s="20"/>
    </row>
    <row r="24" spans="1:41" x14ac:dyDescent="0.25">
      <c r="A24" s="100">
        <v>1</v>
      </c>
      <c r="B24" s="100" t="str">
        <f>MID('04_Seringal'!$B$32,16,6)</f>
        <v>A3S1R4</v>
      </c>
      <c r="C24" s="100" t="str">
        <f>RIGHT(B24,2)</f>
        <v>R4</v>
      </c>
      <c r="D24" s="100" t="str">
        <f>MID('04_Seringal'!$A$3,51,9)</f>
        <v>Esperança</v>
      </c>
      <c r="E24" s="100" t="str">
        <f>MID('04_Seringal'!$A$3,34,9)</f>
        <v xml:space="preserve">Seringal </v>
      </c>
      <c r="F24" s="100"/>
      <c r="G24" s="100">
        <v>83</v>
      </c>
      <c r="H24" s="100"/>
      <c r="I24" s="100"/>
      <c r="J24" s="233">
        <f>'04_Seringal'!K32</f>
        <v>2170818.4203551002</v>
      </c>
      <c r="K24" s="234"/>
      <c r="L24" s="235">
        <v>0</v>
      </c>
      <c r="M24" s="233">
        <v>0</v>
      </c>
      <c r="N24" s="233">
        <v>0</v>
      </c>
      <c r="O24" s="233">
        <v>0</v>
      </c>
      <c r="P24" s="233">
        <v>0</v>
      </c>
      <c r="Q24" s="234"/>
      <c r="R24" s="232">
        <f>SUM(J24:J24)</f>
        <v>2170818.4203551002</v>
      </c>
      <c r="S24" s="232">
        <f>SUM(L24:P24)</f>
        <v>0</v>
      </c>
      <c r="T24" s="232"/>
      <c r="U24" s="232">
        <f t="shared" si="13"/>
        <v>2170818.4203551002</v>
      </c>
      <c r="V24" s="100"/>
      <c r="W24" s="236">
        <f t="shared" si="14"/>
        <v>108540.92101775501</v>
      </c>
      <c r="X24" s="236">
        <f t="shared" si="15"/>
        <v>86832.736814204007</v>
      </c>
      <c r="Y24" s="236">
        <f t="shared" si="16"/>
        <v>21708.184203551002</v>
      </c>
      <c r="Z24" s="236">
        <f t="shared" si="17"/>
        <v>65124.552610653001</v>
      </c>
      <c r="AA24" s="236">
        <f t="shared" si="18"/>
        <v>10854.092101775501</v>
      </c>
      <c r="AB24" s="100"/>
      <c r="AC24" s="240">
        <f>R24+SUM(W24:AA24)</f>
        <v>2463878.9071030389</v>
      </c>
      <c r="AD24" s="232">
        <v>0</v>
      </c>
      <c r="AE24" s="232">
        <f>SUM(AC24:AD24)</f>
        <v>2463878.9071030389</v>
      </c>
      <c r="AF24" s="230"/>
      <c r="AG24" s="236">
        <f t="shared" ref="AG24:AG25" si="33">AE24*0.268</f>
        <v>660319.54710361443</v>
      </c>
      <c r="AH24" s="100"/>
      <c r="AI24" s="232">
        <f t="shared" ref="AI24:AI25" si="34">AC24+AC24*0.268</f>
        <v>3124198.4542066534</v>
      </c>
      <c r="AJ24" s="232">
        <f t="shared" ref="AJ24:AJ25" si="35">AD24+AD24*0.268</f>
        <v>0</v>
      </c>
      <c r="AK24" s="230"/>
      <c r="AL24" s="232">
        <f t="shared" ref="AL24:AL25" si="36">SUM(AI24:AJ24)</f>
        <v>3124198.4542066534</v>
      </c>
      <c r="AM24" s="100"/>
      <c r="AN24" s="231">
        <f>AL24/G24</f>
        <v>37640.945231405465</v>
      </c>
      <c r="AO24" s="20"/>
    </row>
    <row r="25" spans="1:41" x14ac:dyDescent="0.25">
      <c r="A25" s="100"/>
      <c r="B25" s="100"/>
      <c r="C25" s="100"/>
      <c r="D25" s="100"/>
      <c r="E25" s="100"/>
      <c r="F25" s="100"/>
      <c r="G25" s="100"/>
      <c r="H25" s="100">
        <f>SUM(G23:G24)</f>
        <v>113</v>
      </c>
      <c r="I25" s="100"/>
      <c r="J25" s="233">
        <f>'03_Aureliano'!K12</f>
        <v>0</v>
      </c>
      <c r="K25" s="234"/>
      <c r="L25" s="235">
        <f>'04_Seringal'!H131</f>
        <v>26057.629865999996</v>
      </c>
      <c r="M25" s="233">
        <f>'04_Seringal'!H95</f>
        <v>203825.03999999998</v>
      </c>
      <c r="N25" s="233">
        <f>'04_Seringal'!H103</f>
        <v>150790.72</v>
      </c>
      <c r="O25" s="233">
        <f>'04_Seringal'!H123</f>
        <v>21560.76</v>
      </c>
      <c r="P25" s="233">
        <f>'04_Seringal'!H126</f>
        <v>11224</v>
      </c>
      <c r="Q25" s="234"/>
      <c r="R25" s="232">
        <f>SUM(J25:J25)</f>
        <v>0</v>
      </c>
      <c r="S25" s="232">
        <f>SUM(L25:P25)</f>
        <v>413458.14986599999</v>
      </c>
      <c r="T25" s="232"/>
      <c r="U25" s="232">
        <f t="shared" si="13"/>
        <v>413458.14986599999</v>
      </c>
      <c r="V25" s="100"/>
      <c r="W25" s="236">
        <f t="shared" si="14"/>
        <v>20672.907493300001</v>
      </c>
      <c r="X25" s="236">
        <f t="shared" si="15"/>
        <v>16538.325994639999</v>
      </c>
      <c r="Y25" s="236">
        <f t="shared" si="16"/>
        <v>4134.5814986599999</v>
      </c>
      <c r="Z25" s="236">
        <f t="shared" si="17"/>
        <v>12403.74449598</v>
      </c>
      <c r="AA25" s="236">
        <f t="shared" si="18"/>
        <v>2067.2907493299999</v>
      </c>
      <c r="AB25" s="100"/>
      <c r="AC25" s="232">
        <v>0</v>
      </c>
      <c r="AD25" s="232">
        <f>S25+SUM(W25:AA25)</f>
        <v>469275.00009791</v>
      </c>
      <c r="AE25" s="232">
        <f t="shared" ref="AE25" si="37">SUM(AC25:AD25)</f>
        <v>469275.00009791</v>
      </c>
      <c r="AF25" s="230"/>
      <c r="AG25" s="236">
        <f t="shared" si="33"/>
        <v>125765.70002623989</v>
      </c>
      <c r="AH25" s="100"/>
      <c r="AI25" s="232">
        <f t="shared" si="34"/>
        <v>0</v>
      </c>
      <c r="AJ25" s="232">
        <f t="shared" si="35"/>
        <v>595040.70012414991</v>
      </c>
      <c r="AK25" s="230"/>
      <c r="AL25" s="232">
        <f t="shared" si="36"/>
        <v>595040.70012414991</v>
      </c>
      <c r="AM25" s="100"/>
      <c r="AN25" s="231">
        <f>AL25/H25</f>
        <v>5265.8469037535388</v>
      </c>
      <c r="AO25" s="20"/>
    </row>
    <row r="26" spans="1:41" x14ac:dyDescent="0.25">
      <c r="A26" s="100"/>
      <c r="B26" s="100"/>
      <c r="C26" s="100"/>
      <c r="D26" s="100"/>
      <c r="E26" s="100"/>
      <c r="F26" s="100"/>
      <c r="G26" s="100"/>
      <c r="H26" s="100"/>
      <c r="I26" s="100"/>
      <c r="J26" s="233"/>
      <c r="K26" s="234"/>
      <c r="L26" s="233"/>
      <c r="M26" s="233"/>
      <c r="N26" s="233"/>
      <c r="O26" s="233"/>
      <c r="P26" s="233"/>
      <c r="Q26" s="234"/>
      <c r="R26" s="232"/>
      <c r="S26" s="232"/>
      <c r="T26" s="232"/>
      <c r="U26" s="232"/>
      <c r="V26" s="100"/>
      <c r="W26" s="236"/>
      <c r="X26" s="236"/>
      <c r="Y26" s="236"/>
      <c r="Z26" s="236"/>
      <c r="AA26" s="236"/>
      <c r="AB26" s="100"/>
      <c r="AC26" s="232"/>
      <c r="AD26" s="232"/>
      <c r="AE26" s="232"/>
      <c r="AF26" s="230"/>
      <c r="AG26" s="236"/>
      <c r="AH26" s="100"/>
      <c r="AI26" s="232"/>
      <c r="AJ26" s="232"/>
      <c r="AK26" s="230"/>
      <c r="AL26" s="232"/>
      <c r="AM26" s="100"/>
      <c r="AN26" s="231"/>
      <c r="AO26" s="20"/>
    </row>
    <row r="27" spans="1:41" x14ac:dyDescent="0.25">
      <c r="A27" s="100">
        <v>1</v>
      </c>
      <c r="B27" s="100" t="str">
        <f>MID('05_Vila Freitas'!$B$5,16,6)</f>
        <v>A1S1R3</v>
      </c>
      <c r="C27" s="100" t="str">
        <f>RIGHT(B27,2)</f>
        <v>R3</v>
      </c>
      <c r="D27" s="100" t="str">
        <f>MID('05_Vila Freitas'!$A$3,52,9)</f>
        <v>Esperança</v>
      </c>
      <c r="E27" s="100" t="str">
        <f>MID('05_Vila Freitas'!$A$3,31,12)</f>
        <v>Vila Freitas</v>
      </c>
      <c r="F27" s="100"/>
      <c r="G27" s="100">
        <v>85</v>
      </c>
      <c r="H27" s="100"/>
      <c r="I27" s="100"/>
      <c r="J27" s="233">
        <f>'05_Vila Freitas'!K5</f>
        <v>800252.69177600008</v>
      </c>
      <c r="K27" s="234"/>
      <c r="L27" s="235">
        <v>0</v>
      </c>
      <c r="M27" s="235">
        <v>0</v>
      </c>
      <c r="N27" s="235">
        <v>0</v>
      </c>
      <c r="O27" s="235">
        <v>0</v>
      </c>
      <c r="P27" s="235">
        <v>0</v>
      </c>
      <c r="Q27" s="234"/>
      <c r="R27" s="232">
        <f>SUM(J27:J27)</f>
        <v>800252.69177600008</v>
      </c>
      <c r="S27" s="232">
        <f>SUM(L27:P27)</f>
        <v>0</v>
      </c>
      <c r="T27" s="232"/>
      <c r="U27" s="232">
        <f t="shared" si="13"/>
        <v>800252.69177600008</v>
      </c>
      <c r="V27" s="100"/>
      <c r="W27" s="236">
        <f t="shared" si="14"/>
        <v>40012.634588800007</v>
      </c>
      <c r="X27" s="236">
        <f t="shared" si="15"/>
        <v>32010.107671040005</v>
      </c>
      <c r="Y27" s="236">
        <f t="shared" si="16"/>
        <v>8002.5269177600012</v>
      </c>
      <c r="Z27" s="236">
        <f t="shared" si="17"/>
        <v>24007.580753280003</v>
      </c>
      <c r="AA27" s="236">
        <f t="shared" si="18"/>
        <v>4001.2634588800006</v>
      </c>
      <c r="AB27" s="100"/>
      <c r="AC27" s="240">
        <f>R27+SUM(W27:AA27)</f>
        <v>908286.8051657601</v>
      </c>
      <c r="AD27" s="232">
        <v>0</v>
      </c>
      <c r="AE27" s="232">
        <f>SUM(AC27:AD27)</f>
        <v>908286.8051657601</v>
      </c>
      <c r="AF27" s="230"/>
      <c r="AG27" s="236">
        <f>AE27*0.268</f>
        <v>243420.86378442371</v>
      </c>
      <c r="AH27" s="100"/>
      <c r="AI27" s="232">
        <f>AC27+AC27*0.268</f>
        <v>1151707.6689501838</v>
      </c>
      <c r="AJ27" s="232">
        <f>AD27+AD27*0.268</f>
        <v>0</v>
      </c>
      <c r="AK27" s="230"/>
      <c r="AL27" s="232">
        <f>SUM(AI27:AJ27)</f>
        <v>1151707.6689501838</v>
      </c>
      <c r="AM27" s="100"/>
      <c r="AN27" s="231">
        <f>AL27/G27</f>
        <v>13549.501987649221</v>
      </c>
      <c r="AO27" s="20"/>
    </row>
    <row r="28" spans="1:41" x14ac:dyDescent="0.25">
      <c r="A28" s="100"/>
      <c r="B28" s="100"/>
      <c r="C28" s="100"/>
      <c r="D28" s="100"/>
      <c r="E28" s="100"/>
      <c r="F28" s="100"/>
      <c r="G28" s="100"/>
      <c r="H28" s="100">
        <f>G27</f>
        <v>85</v>
      </c>
      <c r="I28" s="100"/>
      <c r="J28" s="233">
        <f>'03_Aureliano'!K15</f>
        <v>0</v>
      </c>
      <c r="K28" s="234"/>
      <c r="L28" s="235">
        <v>0</v>
      </c>
      <c r="M28" s="233">
        <f>'05_Vila Freitas'!H40</f>
        <v>475239.52610390005</v>
      </c>
      <c r="N28" s="233">
        <f>'05_Vila Freitas'!H48</f>
        <v>495930.38999999996</v>
      </c>
      <c r="O28" s="233">
        <f>'05_Vila Freitas'!H54</f>
        <v>31269</v>
      </c>
      <c r="P28" s="233">
        <f>'05_Vila Freitas'!H57</f>
        <v>24092</v>
      </c>
      <c r="Q28" s="234"/>
      <c r="R28" s="232">
        <f>SUM(J28:J28)</f>
        <v>0</v>
      </c>
      <c r="S28" s="232">
        <f>SUM(L28:P28)</f>
        <v>1026530.9161038999</v>
      </c>
      <c r="T28" s="232"/>
      <c r="U28" s="232">
        <f t="shared" si="13"/>
        <v>1026530.9161038999</v>
      </c>
      <c r="V28" s="100"/>
      <c r="W28" s="236">
        <f t="shared" si="14"/>
        <v>51326.545805194997</v>
      </c>
      <c r="X28" s="236">
        <f t="shared" si="15"/>
        <v>41061.236644156001</v>
      </c>
      <c r="Y28" s="236">
        <f t="shared" si="16"/>
        <v>10265.309161039</v>
      </c>
      <c r="Z28" s="236">
        <f t="shared" si="17"/>
        <v>30795.927483116997</v>
      </c>
      <c r="AA28" s="236">
        <f t="shared" si="18"/>
        <v>5132.6545805195001</v>
      </c>
      <c r="AB28" s="100"/>
      <c r="AC28" s="232">
        <v>0</v>
      </c>
      <c r="AD28" s="232">
        <f>S28+SUM(W28:AA28)</f>
        <v>1165112.5897779264</v>
      </c>
      <c r="AE28" s="232">
        <f t="shared" ref="AE28" si="38">SUM(AC28:AD28)</f>
        <v>1165112.5897779264</v>
      </c>
      <c r="AF28" s="230"/>
      <c r="AG28" s="236">
        <f>AE28*0.268</f>
        <v>312250.17406048428</v>
      </c>
      <c r="AH28" s="100"/>
      <c r="AI28" s="232">
        <f>AC28+AC28*0.268</f>
        <v>0</v>
      </c>
      <c r="AJ28" s="232">
        <f>AD28+AD28*0.268</f>
        <v>1477362.7638384108</v>
      </c>
      <c r="AK28" s="230"/>
      <c r="AL28" s="232">
        <f>SUM(AI28:AJ28)</f>
        <v>1477362.7638384108</v>
      </c>
      <c r="AM28" s="100"/>
      <c r="AN28" s="231">
        <f>AL28/H28</f>
        <v>17380.738398098951</v>
      </c>
      <c r="AO28" s="20"/>
    </row>
    <row r="29" spans="1:41" x14ac:dyDescent="0.25">
      <c r="A29" s="100"/>
      <c r="B29" s="100"/>
      <c r="C29" s="100"/>
      <c r="D29" s="100"/>
      <c r="E29" s="100"/>
      <c r="F29" s="100"/>
      <c r="G29" s="100"/>
      <c r="H29" s="100"/>
      <c r="I29" s="100"/>
      <c r="J29" s="233"/>
      <c r="K29" s="234"/>
      <c r="L29" s="233"/>
      <c r="M29" s="233"/>
      <c r="N29" s="233"/>
      <c r="O29" s="233"/>
      <c r="P29" s="233"/>
      <c r="Q29" s="234"/>
      <c r="R29" s="232"/>
      <c r="S29" s="232"/>
      <c r="T29" s="232"/>
      <c r="U29" s="232"/>
      <c r="V29" s="100"/>
      <c r="W29" s="236"/>
      <c r="X29" s="236"/>
      <c r="Y29" s="236"/>
      <c r="Z29" s="236"/>
      <c r="AA29" s="236"/>
      <c r="AB29" s="100"/>
      <c r="AC29" s="232"/>
      <c r="AD29" s="232"/>
      <c r="AE29" s="232"/>
      <c r="AF29" s="230"/>
      <c r="AG29" s="236"/>
      <c r="AH29" s="100"/>
      <c r="AI29" s="232"/>
      <c r="AJ29" s="232"/>
      <c r="AK29" s="230"/>
      <c r="AL29" s="232"/>
      <c r="AM29" s="100"/>
      <c r="AN29" s="231"/>
      <c r="AO29" s="20"/>
    </row>
    <row r="30" spans="1:41" x14ac:dyDescent="0.25">
      <c r="A30" s="100">
        <v>1</v>
      </c>
      <c r="B30" s="100" t="str">
        <f>MID('06_Nova Esperança'!$B$5,16,6)</f>
        <v>A1S1R3</v>
      </c>
      <c r="C30" s="100" t="str">
        <f>RIGHT(B30,2)</f>
        <v>R3</v>
      </c>
      <c r="D30" s="100" t="str">
        <f>MID('06_Nova Esperança'!$A$3,54,9)</f>
        <v>Esperança</v>
      </c>
      <c r="E30" s="100" t="str">
        <f>MID('06_Nova Esperança'!$A$3,31,14)</f>
        <v>Nova Esperança</v>
      </c>
      <c r="F30" s="100"/>
      <c r="G30" s="100">
        <v>48</v>
      </c>
      <c r="H30" s="100"/>
      <c r="I30" s="100"/>
      <c r="J30" s="233">
        <f>'06_Nova Esperança'!K5</f>
        <v>1071693.5994800001</v>
      </c>
      <c r="K30" s="234"/>
      <c r="L30" s="235">
        <v>0</v>
      </c>
      <c r="M30" s="235">
        <v>0</v>
      </c>
      <c r="N30" s="235">
        <v>0</v>
      </c>
      <c r="O30" s="235">
        <v>0</v>
      </c>
      <c r="P30" s="235">
        <v>0</v>
      </c>
      <c r="Q30" s="234"/>
      <c r="R30" s="232">
        <f>SUM(J30:J30)</f>
        <v>1071693.5994800001</v>
      </c>
      <c r="S30" s="232">
        <f>SUM(L30:P30)</f>
        <v>0</v>
      </c>
      <c r="T30" s="232"/>
      <c r="U30" s="232">
        <f t="shared" ref="U30" si="39">R30+S30</f>
        <v>1071693.5994800001</v>
      </c>
      <c r="V30" s="100"/>
      <c r="W30" s="236">
        <f t="shared" ref="W30" si="40">U30*0.05</f>
        <v>53584.679974000006</v>
      </c>
      <c r="X30" s="236">
        <f t="shared" ref="X30" si="41">U30*0.04</f>
        <v>42867.743979200008</v>
      </c>
      <c r="Y30" s="236">
        <f t="shared" ref="Y30" si="42">U30*0.01</f>
        <v>10716.935994800002</v>
      </c>
      <c r="Z30" s="236">
        <f t="shared" ref="Z30" si="43">U30*0.03</f>
        <v>32150.807984400002</v>
      </c>
      <c r="AA30" s="236">
        <f t="shared" ref="AA30" si="44">U30*0.005</f>
        <v>5358.467997400001</v>
      </c>
      <c r="AB30" s="100"/>
      <c r="AC30" s="240">
        <f>R30+SUM(W30:AA30)</f>
        <v>1216372.2354098002</v>
      </c>
      <c r="AD30" s="232">
        <v>0</v>
      </c>
      <c r="AE30" s="232">
        <f>SUM(AC30:AD30)</f>
        <v>1216372.2354098002</v>
      </c>
      <c r="AF30" s="230"/>
      <c r="AG30" s="236">
        <f>AE30*0.268</f>
        <v>325987.75908982649</v>
      </c>
      <c r="AH30" s="100"/>
      <c r="AI30" s="232">
        <f>AC30+AC30*0.268</f>
        <v>1542359.9944996266</v>
      </c>
      <c r="AJ30" s="232">
        <f>AD30+AD30*0.268</f>
        <v>0</v>
      </c>
      <c r="AK30" s="230"/>
      <c r="AL30" s="232">
        <f>SUM(AI30:AJ30)</f>
        <v>1542359.9944996266</v>
      </c>
      <c r="AM30" s="100"/>
      <c r="AN30" s="231">
        <f>AL30/G30</f>
        <v>32132.499885408888</v>
      </c>
      <c r="AO30" s="20"/>
    </row>
    <row r="31" spans="1:41" x14ac:dyDescent="0.25">
      <c r="A31" s="100"/>
      <c r="B31" s="100"/>
      <c r="C31" s="100"/>
      <c r="D31" s="100"/>
      <c r="E31" s="100"/>
      <c r="F31" s="100"/>
      <c r="G31" s="100"/>
      <c r="H31" s="100">
        <f>G30</f>
        <v>48</v>
      </c>
      <c r="I31" s="100"/>
      <c r="J31" s="233">
        <v>0</v>
      </c>
      <c r="K31" s="234"/>
      <c r="L31" s="235">
        <v>0</v>
      </c>
      <c r="M31" s="235">
        <f>'06_Nova Esperança'!H40</f>
        <v>207217.87746500003</v>
      </c>
      <c r="N31" s="235">
        <v>0</v>
      </c>
      <c r="O31" s="235">
        <v>0</v>
      </c>
      <c r="P31" s="235">
        <f>'06_Nova Esperança'!H48</f>
        <v>5706</v>
      </c>
      <c r="Q31" s="234"/>
      <c r="R31" s="232">
        <f>SUM(J31:J31)</f>
        <v>0</v>
      </c>
      <c r="S31" s="232">
        <f>SUM(L31:P31)</f>
        <v>212923.87746500003</v>
      </c>
      <c r="T31" s="232"/>
      <c r="U31" s="232">
        <f t="shared" si="13"/>
        <v>212923.87746500003</v>
      </c>
      <c r="V31" s="100"/>
      <c r="W31" s="236">
        <f t="shared" si="14"/>
        <v>10646.193873250002</v>
      </c>
      <c r="X31" s="236">
        <f t="shared" si="15"/>
        <v>8516.9550986000013</v>
      </c>
      <c r="Y31" s="236">
        <f t="shared" si="16"/>
        <v>2129.2387746500003</v>
      </c>
      <c r="Z31" s="236">
        <f t="shared" si="17"/>
        <v>6387.7163239500005</v>
      </c>
      <c r="AA31" s="236">
        <f t="shared" si="18"/>
        <v>1064.6193873250002</v>
      </c>
      <c r="AB31" s="100"/>
      <c r="AC31" s="232">
        <v>0</v>
      </c>
      <c r="AD31" s="232">
        <f>S31+SUM(W31:AA31)</f>
        <v>241668.60092277502</v>
      </c>
      <c r="AE31" s="232">
        <f t="shared" ref="AE31" si="45">SUM(AC31:AD31)</f>
        <v>241668.60092277502</v>
      </c>
      <c r="AF31" s="230"/>
      <c r="AG31" s="236">
        <f>AE31*0.268</f>
        <v>64767.185047303712</v>
      </c>
      <c r="AH31" s="100"/>
      <c r="AI31" s="232">
        <f>AC31+AC31*0.268</f>
        <v>0</v>
      </c>
      <c r="AJ31" s="232">
        <f>AD31+AD31*0.268</f>
        <v>306435.78597007872</v>
      </c>
      <c r="AK31" s="230"/>
      <c r="AL31" s="232">
        <f>SUM(AI31:AJ31)</f>
        <v>306435.78597007872</v>
      </c>
      <c r="AM31" s="100"/>
      <c r="AN31" s="231">
        <f>AL31/H31</f>
        <v>6384.0788743766398</v>
      </c>
      <c r="AO31" s="20"/>
    </row>
    <row r="32" spans="1:41" x14ac:dyDescent="0.25">
      <c r="A32" s="100"/>
      <c r="B32" s="100"/>
      <c r="C32" s="100"/>
      <c r="D32" s="100"/>
      <c r="E32" s="100"/>
      <c r="F32" s="100"/>
      <c r="G32" s="100"/>
      <c r="H32" s="100"/>
      <c r="I32" s="100"/>
      <c r="J32" s="233"/>
      <c r="K32" s="234"/>
      <c r="L32" s="233"/>
      <c r="M32" s="233"/>
      <c r="N32" s="233"/>
      <c r="O32" s="233"/>
      <c r="P32" s="233"/>
      <c r="Q32" s="234"/>
      <c r="R32" s="238"/>
      <c r="S32" s="238"/>
      <c r="T32" s="238"/>
      <c r="U32" s="238"/>
      <c r="V32" s="234"/>
      <c r="W32" s="233"/>
      <c r="X32" s="233"/>
      <c r="Y32" s="233"/>
      <c r="Z32" s="233"/>
      <c r="AA32" s="233"/>
      <c r="AB32" s="234"/>
      <c r="AC32" s="238"/>
      <c r="AD32" s="238"/>
      <c r="AE32" s="238"/>
      <c r="AF32" s="234"/>
      <c r="AG32" s="233"/>
      <c r="AH32" s="234"/>
      <c r="AI32" s="238"/>
      <c r="AJ32" s="238"/>
      <c r="AK32" s="234"/>
      <c r="AL32" s="238"/>
      <c r="AM32" s="234"/>
      <c r="AN32" s="233"/>
      <c r="AO32" s="20"/>
    </row>
    <row r="33" spans="1:41" x14ac:dyDescent="0.25">
      <c r="A33" s="100">
        <v>1</v>
      </c>
      <c r="B33" s="100" t="str">
        <f>MID('07_Floresta'!$B$5,16,6)</f>
        <v>A4S2R3</v>
      </c>
      <c r="C33" s="100" t="str">
        <f>RIGHT(B33,2)</f>
        <v>R3</v>
      </c>
      <c r="D33" s="100" t="str">
        <f>MID('07_Floresta'!$A$3,51,7)</f>
        <v>Malhado</v>
      </c>
      <c r="E33" s="100" t="str">
        <f>MID('07_Floresta'!$A$3,34,8)</f>
        <v>Floresta</v>
      </c>
      <c r="F33" s="100"/>
      <c r="G33" s="100">
        <v>15</v>
      </c>
      <c r="H33" s="100"/>
      <c r="I33" s="100"/>
      <c r="J33" s="233">
        <f>'07_Floresta'!K5</f>
        <v>504489.82</v>
      </c>
      <c r="K33" s="234"/>
      <c r="L33" s="235">
        <v>0</v>
      </c>
      <c r="M33" s="235">
        <v>0</v>
      </c>
      <c r="N33" s="235">
        <v>0</v>
      </c>
      <c r="O33" s="235">
        <v>0</v>
      </c>
      <c r="P33" s="235">
        <v>0</v>
      </c>
      <c r="Q33" s="234"/>
      <c r="R33" s="232">
        <f>SUM(J33:J33)</f>
        <v>504489.82</v>
      </c>
      <c r="S33" s="232">
        <f>SUM(L33:P33)</f>
        <v>0</v>
      </c>
      <c r="T33" s="232"/>
      <c r="U33" s="232">
        <f t="shared" ref="U33" si="46">R33+S33</f>
        <v>504489.82</v>
      </c>
      <c r="V33" s="100"/>
      <c r="W33" s="236">
        <f t="shared" ref="W33" si="47">U33*0.05</f>
        <v>25224.491000000002</v>
      </c>
      <c r="X33" s="236">
        <f t="shared" ref="X33" si="48">U33*0.04</f>
        <v>20179.592800000002</v>
      </c>
      <c r="Y33" s="236">
        <f t="shared" ref="Y33" si="49">U33*0.01</f>
        <v>5044.8982000000005</v>
      </c>
      <c r="Z33" s="236">
        <f t="shared" ref="Z33" si="50">U33*0.03</f>
        <v>15134.694599999999</v>
      </c>
      <c r="AA33" s="236">
        <f t="shared" ref="AA33" si="51">U33*0.005</f>
        <v>2522.4491000000003</v>
      </c>
      <c r="AB33" s="100"/>
      <c r="AC33" s="240">
        <f>R33+SUM(W33:AA33)</f>
        <v>572595.94570000004</v>
      </c>
      <c r="AD33" s="232">
        <v>0</v>
      </c>
      <c r="AE33" s="232">
        <f>SUM(AC33:AD33)</f>
        <v>572595.94570000004</v>
      </c>
      <c r="AF33" s="230"/>
      <c r="AG33" s="236">
        <f>AE33*0.268</f>
        <v>153455.71344760002</v>
      </c>
      <c r="AH33" s="100"/>
      <c r="AI33" s="232">
        <f>AC33+AC33*0.268</f>
        <v>726051.65914760006</v>
      </c>
      <c r="AJ33" s="232">
        <f>AD33+AD33*0.268</f>
        <v>0</v>
      </c>
      <c r="AK33" s="230"/>
      <c r="AL33" s="232">
        <f>SUM(AI33:AJ33)</f>
        <v>726051.65914760006</v>
      </c>
      <c r="AM33" s="100"/>
      <c r="AN33" s="231">
        <f>AL33/G33</f>
        <v>48403.443943173341</v>
      </c>
      <c r="AO33" s="20"/>
    </row>
    <row r="34" spans="1:41" x14ac:dyDescent="0.25">
      <c r="A34" s="100">
        <v>1</v>
      </c>
      <c r="B34" s="100" t="str">
        <f>MID('07_Floresta'!$B$16,16,6)</f>
        <v>A4S5R3</v>
      </c>
      <c r="C34" s="100" t="str">
        <f t="shared" ref="C34:C35" si="52">RIGHT(B34,2)</f>
        <v>R3</v>
      </c>
      <c r="D34" s="100" t="str">
        <f>MID('07_Floresta'!$A$3,51,7)</f>
        <v>Malhado</v>
      </c>
      <c r="E34" s="100" t="str">
        <f>MID('07_Floresta'!$A$3,34,8)</f>
        <v>Floresta</v>
      </c>
      <c r="F34" s="100"/>
      <c r="G34" s="100">
        <v>63</v>
      </c>
      <c r="H34" s="100"/>
      <c r="I34" s="100"/>
      <c r="J34" s="233">
        <f>'07_Floresta'!K16</f>
        <v>2693265.81</v>
      </c>
      <c r="K34" s="234"/>
      <c r="L34" s="235">
        <v>0</v>
      </c>
      <c r="M34" s="235">
        <v>0</v>
      </c>
      <c r="N34" s="235">
        <v>0</v>
      </c>
      <c r="O34" s="235">
        <v>0</v>
      </c>
      <c r="P34" s="235">
        <v>0</v>
      </c>
      <c r="Q34" s="234"/>
      <c r="R34" s="232">
        <f t="shared" ref="R34:R36" si="53">SUM(J34:J34)</f>
        <v>2693265.81</v>
      </c>
      <c r="S34" s="232">
        <f t="shared" ref="S34:S36" si="54">SUM(L34:P34)</f>
        <v>0</v>
      </c>
      <c r="T34" s="232"/>
      <c r="U34" s="232">
        <f t="shared" ref="U34:U36" si="55">R34+S34</f>
        <v>2693265.81</v>
      </c>
      <c r="V34" s="100"/>
      <c r="W34" s="236">
        <f t="shared" ref="W34:W36" si="56">U34*0.05</f>
        <v>134663.2905</v>
      </c>
      <c r="X34" s="236">
        <f t="shared" ref="X34:X36" si="57">U34*0.04</f>
        <v>107730.6324</v>
      </c>
      <c r="Y34" s="236">
        <f t="shared" ref="Y34:Y36" si="58">U34*0.01</f>
        <v>26932.658100000001</v>
      </c>
      <c r="Z34" s="236">
        <f t="shared" ref="Z34:Z36" si="59">U34*0.03</f>
        <v>80797.974300000002</v>
      </c>
      <c r="AA34" s="236">
        <f t="shared" ref="AA34:AA36" si="60">U34*0.005</f>
        <v>13466.32905</v>
      </c>
      <c r="AB34" s="100"/>
      <c r="AC34" s="240">
        <f>R34+SUM(W34:AA34)</f>
        <v>3056856.69435</v>
      </c>
      <c r="AD34" s="232">
        <v>0</v>
      </c>
      <c r="AE34" s="232">
        <f>SUM(AC34:AD34)</f>
        <v>3056856.69435</v>
      </c>
      <c r="AF34" s="230"/>
      <c r="AG34" s="236">
        <f t="shared" ref="AG34:AG36" si="61">AE34*0.268</f>
        <v>819237.5940858</v>
      </c>
      <c r="AH34" s="100"/>
      <c r="AI34" s="232">
        <f t="shared" ref="AI34:AI36" si="62">AC34+AC34*0.268</f>
        <v>3876094.2884358</v>
      </c>
      <c r="AJ34" s="232">
        <f t="shared" ref="AJ34:AJ36" si="63">AD34+AD34*0.268</f>
        <v>0</v>
      </c>
      <c r="AK34" s="230"/>
      <c r="AL34" s="232">
        <f t="shared" ref="AL34:AL36" si="64">SUM(AI34:AJ34)</f>
        <v>3876094.2884358</v>
      </c>
      <c r="AM34" s="100"/>
      <c r="AN34" s="231">
        <f>AL34/G34</f>
        <v>61525.30616564762</v>
      </c>
      <c r="AO34" s="20"/>
    </row>
    <row r="35" spans="1:41" x14ac:dyDescent="0.25">
      <c r="A35" s="100">
        <v>1</v>
      </c>
      <c r="B35" s="100" t="str">
        <f>MID('07_Floresta'!$B$47,16,6)</f>
        <v>A4S6R4</v>
      </c>
      <c r="C35" s="100" t="str">
        <f t="shared" si="52"/>
        <v>R4</v>
      </c>
      <c r="D35" s="100" t="str">
        <f>MID('07_Floresta'!$A$3,51,7)</f>
        <v>Malhado</v>
      </c>
      <c r="E35" s="100" t="str">
        <f>MID('07_Floresta'!$A$3,34,8)</f>
        <v>Floresta</v>
      </c>
      <c r="F35" s="100"/>
      <c r="G35" s="100">
        <v>124</v>
      </c>
      <c r="H35" s="100"/>
      <c r="I35" s="100"/>
      <c r="J35" s="233">
        <f>'07_Floresta'!K47</f>
        <v>757999.24</v>
      </c>
      <c r="K35" s="234"/>
      <c r="L35" s="235">
        <v>0</v>
      </c>
      <c r="M35" s="235">
        <v>0</v>
      </c>
      <c r="N35" s="235">
        <v>0</v>
      </c>
      <c r="O35" s="235">
        <v>0</v>
      </c>
      <c r="P35" s="235">
        <v>0</v>
      </c>
      <c r="Q35" s="234"/>
      <c r="R35" s="232">
        <f t="shared" si="53"/>
        <v>757999.24</v>
      </c>
      <c r="S35" s="232">
        <f t="shared" si="54"/>
        <v>0</v>
      </c>
      <c r="T35" s="232"/>
      <c r="U35" s="232">
        <f t="shared" si="55"/>
        <v>757999.24</v>
      </c>
      <c r="V35" s="100"/>
      <c r="W35" s="236">
        <f t="shared" si="56"/>
        <v>37899.962</v>
      </c>
      <c r="X35" s="236">
        <f t="shared" si="57"/>
        <v>30319.9696</v>
      </c>
      <c r="Y35" s="236">
        <f t="shared" si="58"/>
        <v>7579.9924000000001</v>
      </c>
      <c r="Z35" s="236">
        <f t="shared" si="59"/>
        <v>22739.977199999998</v>
      </c>
      <c r="AA35" s="236">
        <f t="shared" si="60"/>
        <v>3789.9962</v>
      </c>
      <c r="AB35" s="100"/>
      <c r="AC35" s="232">
        <v>0</v>
      </c>
      <c r="AD35" s="232">
        <f>S35+SUM(W35:AA35)</f>
        <v>102329.89739999999</v>
      </c>
      <c r="AE35" s="232">
        <f t="shared" ref="AE35:AE36" si="65">SUM(AC35:AD35)</f>
        <v>102329.89739999999</v>
      </c>
      <c r="AF35" s="230"/>
      <c r="AG35" s="236">
        <f t="shared" si="61"/>
        <v>27424.412503199997</v>
      </c>
      <c r="AH35" s="100"/>
      <c r="AI35" s="232">
        <f t="shared" si="62"/>
        <v>0</v>
      </c>
      <c r="AJ35" s="232">
        <f t="shared" si="63"/>
        <v>129754.30990319999</v>
      </c>
      <c r="AK35" s="230"/>
      <c r="AL35" s="232">
        <f t="shared" si="64"/>
        <v>129754.30990319999</v>
      </c>
      <c r="AM35" s="100"/>
      <c r="AN35" s="231">
        <f>AL35/G35</f>
        <v>1046.4057250258063</v>
      </c>
      <c r="AO35" s="20"/>
    </row>
    <row r="36" spans="1:41" x14ac:dyDescent="0.25">
      <c r="A36" s="100"/>
      <c r="B36" s="100"/>
      <c r="C36" s="100"/>
      <c r="D36" s="100"/>
      <c r="E36" s="100"/>
      <c r="F36" s="100"/>
      <c r="G36" s="100"/>
      <c r="H36" s="100">
        <f>SUM(G33:G35)</f>
        <v>202</v>
      </c>
      <c r="I36" s="100"/>
      <c r="J36" s="233">
        <v>0</v>
      </c>
      <c r="K36" s="234"/>
      <c r="L36" s="235">
        <v>0</v>
      </c>
      <c r="M36" s="235">
        <v>0</v>
      </c>
      <c r="N36" s="235">
        <v>0</v>
      </c>
      <c r="O36" s="235">
        <v>0</v>
      </c>
      <c r="P36" s="235">
        <v>0</v>
      </c>
      <c r="Q36" s="234"/>
      <c r="R36" s="232">
        <f t="shared" si="53"/>
        <v>0</v>
      </c>
      <c r="S36" s="232">
        <f t="shared" si="54"/>
        <v>0</v>
      </c>
      <c r="T36" s="232"/>
      <c r="U36" s="232">
        <f t="shared" si="55"/>
        <v>0</v>
      </c>
      <c r="V36" s="100"/>
      <c r="W36" s="236">
        <f t="shared" si="56"/>
        <v>0</v>
      </c>
      <c r="X36" s="236">
        <f t="shared" si="57"/>
        <v>0</v>
      </c>
      <c r="Y36" s="236">
        <f t="shared" si="58"/>
        <v>0</v>
      </c>
      <c r="Z36" s="236">
        <f t="shared" si="59"/>
        <v>0</v>
      </c>
      <c r="AA36" s="236">
        <f t="shared" si="60"/>
        <v>0</v>
      </c>
      <c r="AB36" s="100"/>
      <c r="AC36" s="232">
        <v>0</v>
      </c>
      <c r="AD36" s="232">
        <f>S36+SUM(W36:AA36)</f>
        <v>0</v>
      </c>
      <c r="AE36" s="232">
        <f t="shared" si="65"/>
        <v>0</v>
      </c>
      <c r="AF36" s="230"/>
      <c r="AG36" s="236">
        <f t="shared" si="61"/>
        <v>0</v>
      </c>
      <c r="AH36" s="100"/>
      <c r="AI36" s="232">
        <f t="shared" si="62"/>
        <v>0</v>
      </c>
      <c r="AJ36" s="232">
        <f t="shared" si="63"/>
        <v>0</v>
      </c>
      <c r="AK36" s="230"/>
      <c r="AL36" s="232">
        <f t="shared" si="64"/>
        <v>0</v>
      </c>
      <c r="AM36" s="100"/>
      <c r="AN36" s="231">
        <f>AL36/H36</f>
        <v>0</v>
      </c>
      <c r="AO36" s="20"/>
    </row>
    <row r="37" spans="1:41" x14ac:dyDescent="0.25">
      <c r="A37" s="100"/>
      <c r="B37" s="100"/>
      <c r="C37" s="100"/>
      <c r="D37" s="100"/>
      <c r="E37" s="100"/>
      <c r="F37" s="100"/>
      <c r="G37" s="100"/>
      <c r="H37" s="100"/>
      <c r="I37" s="100"/>
      <c r="J37" s="233"/>
      <c r="K37" s="234"/>
      <c r="L37" s="233"/>
      <c r="M37" s="233"/>
      <c r="N37" s="233"/>
      <c r="O37" s="233"/>
      <c r="P37" s="233"/>
      <c r="Q37" s="234"/>
      <c r="R37" s="238"/>
      <c r="S37" s="238"/>
      <c r="T37" s="238"/>
      <c r="U37" s="238"/>
      <c r="V37" s="234"/>
      <c r="W37" s="233"/>
      <c r="X37" s="233"/>
      <c r="Y37" s="233"/>
      <c r="Z37" s="233"/>
      <c r="AA37" s="233"/>
      <c r="AB37" s="234"/>
      <c r="AC37" s="238"/>
      <c r="AD37" s="238"/>
      <c r="AE37" s="238"/>
      <c r="AF37" s="234"/>
      <c r="AG37" s="233"/>
      <c r="AH37" s="234"/>
      <c r="AI37" s="238"/>
      <c r="AJ37" s="238"/>
      <c r="AK37" s="234"/>
      <c r="AL37" s="238"/>
      <c r="AM37" s="234"/>
      <c r="AN37" s="233"/>
      <c r="AO37" s="20"/>
    </row>
    <row r="38" spans="1:41" x14ac:dyDescent="0.25">
      <c r="A38" s="100">
        <v>1</v>
      </c>
      <c r="B38" s="100" t="str">
        <f>MID('08_Coqueiro'!$B$5,16,6)</f>
        <v>A2S1R3</v>
      </c>
      <c r="C38" s="100" t="str">
        <f>RIGHT(B38,2)</f>
        <v>R3</v>
      </c>
      <c r="D38" s="100" t="str">
        <f>MID('08_Coqueiro'!$A$3,51,7)</f>
        <v>Malhado</v>
      </c>
      <c r="E38" s="100" t="str">
        <f>MID('08_Coqueiro'!$A$3,34,8)</f>
        <v>Coqueiro</v>
      </c>
      <c r="F38" s="100"/>
      <c r="G38" s="100">
        <v>25</v>
      </c>
      <c r="H38" s="100"/>
      <c r="I38" s="100"/>
      <c r="J38" s="233">
        <f>'08_Coqueiro'!K5</f>
        <v>995770.49</v>
      </c>
      <c r="K38" s="234"/>
      <c r="L38" s="235">
        <v>0</v>
      </c>
      <c r="M38" s="235">
        <v>0</v>
      </c>
      <c r="N38" s="235">
        <v>0</v>
      </c>
      <c r="O38" s="235">
        <v>0</v>
      </c>
      <c r="P38" s="235">
        <v>0</v>
      </c>
      <c r="Q38" s="234"/>
      <c r="R38" s="232">
        <f>SUM(J38:J38)</f>
        <v>995770.49</v>
      </c>
      <c r="S38" s="232">
        <f>SUM(L38:P38)</f>
        <v>0</v>
      </c>
      <c r="T38" s="232"/>
      <c r="U38" s="232">
        <f t="shared" ref="U38" si="66">R38+S38</f>
        <v>995770.49</v>
      </c>
      <c r="V38" s="100"/>
      <c r="W38" s="236">
        <f t="shared" ref="W38" si="67">U38*0.05</f>
        <v>49788.5245</v>
      </c>
      <c r="X38" s="236">
        <f t="shared" ref="X38" si="68">U38*0.04</f>
        <v>39830.819600000003</v>
      </c>
      <c r="Y38" s="236">
        <f t="shared" ref="Y38" si="69">U38*0.01</f>
        <v>9957.7049000000006</v>
      </c>
      <c r="Z38" s="236">
        <f t="shared" ref="Z38" si="70">U38*0.03</f>
        <v>29873.114699999998</v>
      </c>
      <c r="AA38" s="236">
        <f t="shared" ref="AA38" si="71">U38*0.005</f>
        <v>4978.8524500000003</v>
      </c>
      <c r="AB38" s="100"/>
      <c r="AC38" s="240">
        <f>R38+SUM(W38:AA38)</f>
        <v>1130199.50615</v>
      </c>
      <c r="AD38" s="232">
        <v>0</v>
      </c>
      <c r="AE38" s="232">
        <f>SUM(AC38:AD38)</f>
        <v>1130199.50615</v>
      </c>
      <c r="AF38" s="230"/>
      <c r="AG38" s="236">
        <f>AE38*0.268</f>
        <v>302893.46764820005</v>
      </c>
      <c r="AH38" s="100"/>
      <c r="AI38" s="232">
        <f>AC38+AC38*0.268</f>
        <v>1433092.9737982</v>
      </c>
      <c r="AJ38" s="232">
        <f>AD38+AD38*0.268</f>
        <v>0</v>
      </c>
      <c r="AK38" s="230"/>
      <c r="AL38" s="232">
        <f>SUM(AI38:AJ38)</f>
        <v>1433092.9737982</v>
      </c>
      <c r="AM38" s="100"/>
      <c r="AN38" s="231">
        <f>AL38/G38</f>
        <v>57323.718951928</v>
      </c>
      <c r="AO38" s="20"/>
    </row>
    <row r="39" spans="1:41" x14ac:dyDescent="0.25">
      <c r="A39" s="100">
        <v>1</v>
      </c>
      <c r="B39" s="100" t="str">
        <f>MID('08_Coqueiro'!$B$41,16,6)</f>
        <v>A3S2R3</v>
      </c>
      <c r="C39" s="100" t="str">
        <f t="shared" ref="C39:C41" si="72">RIGHT(B39,2)</f>
        <v>R3</v>
      </c>
      <c r="D39" s="100" t="str">
        <f>MID('08_Coqueiro'!$A$3,51,7)</f>
        <v>Malhado</v>
      </c>
      <c r="E39" s="100" t="str">
        <f>MID('08_Coqueiro'!$A$3,34,8)</f>
        <v>Coqueiro</v>
      </c>
      <c r="F39" s="100"/>
      <c r="G39" s="100">
        <v>98</v>
      </c>
      <c r="H39" s="100"/>
      <c r="I39" s="100"/>
      <c r="J39" s="233">
        <f>'08_Coqueiro'!K41</f>
        <v>3858154.44</v>
      </c>
      <c r="K39" s="234"/>
      <c r="L39" s="235">
        <v>0</v>
      </c>
      <c r="M39" s="235">
        <v>0</v>
      </c>
      <c r="N39" s="235">
        <v>0</v>
      </c>
      <c r="O39" s="235">
        <v>0</v>
      </c>
      <c r="P39" s="235">
        <v>0</v>
      </c>
      <c r="Q39" s="234"/>
      <c r="R39" s="232">
        <f t="shared" ref="R39:R42" si="73">SUM(J39:J39)</f>
        <v>3858154.44</v>
      </c>
      <c r="S39" s="232">
        <f t="shared" ref="S39:S42" si="74">SUM(L39:P39)</f>
        <v>0</v>
      </c>
      <c r="T39" s="232"/>
      <c r="U39" s="232">
        <f t="shared" ref="U39:U42" si="75">R39+S39</f>
        <v>3858154.44</v>
      </c>
      <c r="V39" s="100"/>
      <c r="W39" s="236">
        <f t="shared" ref="W39:W42" si="76">U39*0.05</f>
        <v>192907.72200000001</v>
      </c>
      <c r="X39" s="236">
        <f t="shared" ref="X39:X42" si="77">U39*0.04</f>
        <v>154326.1776</v>
      </c>
      <c r="Y39" s="236">
        <f t="shared" ref="Y39:Y42" si="78">U39*0.01</f>
        <v>38581.544399999999</v>
      </c>
      <c r="Z39" s="236">
        <f t="shared" ref="Z39:Z42" si="79">U39*0.03</f>
        <v>115744.6332</v>
      </c>
      <c r="AA39" s="236">
        <f t="shared" ref="AA39:AA42" si="80">U39*0.005</f>
        <v>19290.772199999999</v>
      </c>
      <c r="AB39" s="100"/>
      <c r="AC39" s="240">
        <f t="shared" ref="AC39:AC41" si="81">R39+SUM(W39:AA39)</f>
        <v>4379005.2894000001</v>
      </c>
      <c r="AD39" s="232">
        <v>0</v>
      </c>
      <c r="AE39" s="232">
        <f t="shared" ref="AE39:AE42" si="82">SUM(AC39:AD39)</f>
        <v>4379005.2894000001</v>
      </c>
      <c r="AF39" s="230"/>
      <c r="AG39" s="236">
        <f t="shared" ref="AG39:AG42" si="83">AE39*0.268</f>
        <v>1173573.4175592002</v>
      </c>
      <c r="AH39" s="100"/>
      <c r="AI39" s="232">
        <f t="shared" ref="AI39:AI42" si="84">AC39+AC39*0.268</f>
        <v>5552578.7069592001</v>
      </c>
      <c r="AJ39" s="232">
        <f t="shared" ref="AJ39:AJ42" si="85">AD39+AD39*0.268</f>
        <v>0</v>
      </c>
      <c r="AK39" s="230"/>
      <c r="AL39" s="232">
        <f t="shared" ref="AL39:AL42" si="86">SUM(AI39:AJ39)</f>
        <v>5552578.7069592001</v>
      </c>
      <c r="AM39" s="100"/>
      <c r="AN39" s="231">
        <f>AL39/G39</f>
        <v>56658.966397542856</v>
      </c>
      <c r="AO39" s="20"/>
    </row>
    <row r="40" spans="1:41" x14ac:dyDescent="0.25">
      <c r="A40" s="100">
        <v>1</v>
      </c>
      <c r="B40" s="100" t="str">
        <f>MID('08_Coqueiro'!$B$57,16,6)</f>
        <v>A5S1R3</v>
      </c>
      <c r="C40" s="100" t="str">
        <f t="shared" si="72"/>
        <v>R3</v>
      </c>
      <c r="D40" s="100" t="str">
        <f>MID('08_Coqueiro'!$A$3,51,7)</f>
        <v>Malhado</v>
      </c>
      <c r="E40" s="100" t="str">
        <f>MID('08_Coqueiro'!$A$3,34,8)</f>
        <v>Coqueiro</v>
      </c>
      <c r="F40" s="100"/>
      <c r="G40" s="100">
        <v>9</v>
      </c>
      <c r="H40" s="100"/>
      <c r="I40" s="100"/>
      <c r="J40" s="233">
        <f>'08_Coqueiro'!K57</f>
        <v>34360.769999999997</v>
      </c>
      <c r="K40" s="234"/>
      <c r="L40" s="235">
        <v>0</v>
      </c>
      <c r="M40" s="235">
        <v>0</v>
      </c>
      <c r="N40" s="235">
        <v>0</v>
      </c>
      <c r="O40" s="235">
        <v>0</v>
      </c>
      <c r="P40" s="235">
        <v>0</v>
      </c>
      <c r="Q40" s="234"/>
      <c r="R40" s="232">
        <f t="shared" si="73"/>
        <v>34360.769999999997</v>
      </c>
      <c r="S40" s="232">
        <f t="shared" si="74"/>
        <v>0</v>
      </c>
      <c r="T40" s="232"/>
      <c r="U40" s="232">
        <f t="shared" si="75"/>
        <v>34360.769999999997</v>
      </c>
      <c r="V40" s="100"/>
      <c r="W40" s="236">
        <f t="shared" si="76"/>
        <v>1718.0384999999999</v>
      </c>
      <c r="X40" s="236">
        <f t="shared" si="77"/>
        <v>1374.4307999999999</v>
      </c>
      <c r="Y40" s="236">
        <f t="shared" si="78"/>
        <v>343.60769999999997</v>
      </c>
      <c r="Z40" s="236">
        <f t="shared" si="79"/>
        <v>1030.8230999999998</v>
      </c>
      <c r="AA40" s="236">
        <f t="shared" si="80"/>
        <v>171.80384999999998</v>
      </c>
      <c r="AB40" s="100"/>
      <c r="AC40" s="240">
        <f t="shared" si="81"/>
        <v>38999.47395</v>
      </c>
      <c r="AD40" s="232">
        <v>0</v>
      </c>
      <c r="AE40" s="232">
        <f t="shared" si="82"/>
        <v>38999.47395</v>
      </c>
      <c r="AF40" s="230"/>
      <c r="AG40" s="236">
        <f t="shared" si="83"/>
        <v>10451.8590186</v>
      </c>
      <c r="AH40" s="100"/>
      <c r="AI40" s="232">
        <f t="shared" si="84"/>
        <v>49451.3329686</v>
      </c>
      <c r="AJ40" s="232">
        <f t="shared" si="85"/>
        <v>0</v>
      </c>
      <c r="AK40" s="230"/>
      <c r="AL40" s="232">
        <f t="shared" si="86"/>
        <v>49451.3329686</v>
      </c>
      <c r="AM40" s="100"/>
      <c r="AN40" s="231">
        <f>AL40/G40</f>
        <v>5494.5925520666669</v>
      </c>
      <c r="AO40" s="20"/>
    </row>
    <row r="41" spans="1:41" x14ac:dyDescent="0.25">
      <c r="A41" s="100">
        <v>1</v>
      </c>
      <c r="B41" s="100" t="str">
        <f>MID('08_Coqueiro'!$B$73,16,6)</f>
        <v>A6S1R4</v>
      </c>
      <c r="C41" s="100" t="str">
        <f t="shared" si="72"/>
        <v>R4</v>
      </c>
      <c r="D41" s="100" t="str">
        <f>MID('08_Coqueiro'!$A$3,51,7)</f>
        <v>Malhado</v>
      </c>
      <c r="E41" s="100" t="str">
        <f>MID('08_Coqueiro'!$A$3,34,8)</f>
        <v>Coqueiro</v>
      </c>
      <c r="F41" s="100"/>
      <c r="G41" s="100">
        <v>10</v>
      </c>
      <c r="H41" s="100"/>
      <c r="I41" s="100"/>
      <c r="J41" s="233">
        <f>'08_Coqueiro'!K73</f>
        <v>453427.49</v>
      </c>
      <c r="K41" s="234"/>
      <c r="L41" s="235">
        <v>0</v>
      </c>
      <c r="M41" s="235">
        <v>0</v>
      </c>
      <c r="N41" s="235">
        <v>0</v>
      </c>
      <c r="O41" s="235">
        <v>0</v>
      </c>
      <c r="P41" s="235">
        <v>0</v>
      </c>
      <c r="Q41" s="234"/>
      <c r="R41" s="232">
        <f t="shared" si="73"/>
        <v>453427.49</v>
      </c>
      <c r="S41" s="232">
        <f t="shared" si="74"/>
        <v>0</v>
      </c>
      <c r="T41" s="232"/>
      <c r="U41" s="232">
        <f t="shared" si="75"/>
        <v>453427.49</v>
      </c>
      <c r="V41" s="100"/>
      <c r="W41" s="236">
        <f t="shared" si="76"/>
        <v>22671.374500000002</v>
      </c>
      <c r="X41" s="236">
        <f t="shared" si="77"/>
        <v>18137.099600000001</v>
      </c>
      <c r="Y41" s="236">
        <f t="shared" si="78"/>
        <v>4534.2749000000003</v>
      </c>
      <c r="Z41" s="236">
        <f t="shared" si="79"/>
        <v>13602.824699999999</v>
      </c>
      <c r="AA41" s="236">
        <f t="shared" si="80"/>
        <v>2267.1374500000002</v>
      </c>
      <c r="AB41" s="100"/>
      <c r="AC41" s="240">
        <f t="shared" si="81"/>
        <v>514640.20114999998</v>
      </c>
      <c r="AD41" s="232">
        <v>0</v>
      </c>
      <c r="AE41" s="232">
        <f t="shared" si="82"/>
        <v>514640.20114999998</v>
      </c>
      <c r="AF41" s="230"/>
      <c r="AG41" s="236">
        <f t="shared" si="83"/>
        <v>137923.57390819999</v>
      </c>
      <c r="AH41" s="100"/>
      <c r="AI41" s="232">
        <f t="shared" si="84"/>
        <v>652563.7750582</v>
      </c>
      <c r="AJ41" s="232">
        <f t="shared" si="85"/>
        <v>0</v>
      </c>
      <c r="AK41" s="230"/>
      <c r="AL41" s="232">
        <f t="shared" si="86"/>
        <v>652563.7750582</v>
      </c>
      <c r="AM41" s="100"/>
      <c r="AN41" s="231">
        <f>AL41/G41</f>
        <v>65256.377505819997</v>
      </c>
      <c r="AO41" s="20"/>
    </row>
    <row r="42" spans="1:41" x14ac:dyDescent="0.25">
      <c r="A42" s="100"/>
      <c r="B42" s="100"/>
      <c r="C42" s="100"/>
      <c r="D42" s="100"/>
      <c r="E42" s="100"/>
      <c r="F42" s="100"/>
      <c r="G42" s="100"/>
      <c r="H42" s="100">
        <f>SUM(G38:G41)</f>
        <v>142</v>
      </c>
      <c r="I42" s="100"/>
      <c r="J42" s="233">
        <v>0</v>
      </c>
      <c r="K42" s="234"/>
      <c r="L42" s="235">
        <f>'08_Coqueiro'!H94</f>
        <v>139725.19</v>
      </c>
      <c r="M42" s="235">
        <f>'08_Coqueiro'!H100</f>
        <v>487554.32</v>
      </c>
      <c r="N42" s="235">
        <f>'08_Coqueiro'!H106</f>
        <v>4882545.1100000003</v>
      </c>
      <c r="O42" s="235">
        <f>'08_Coqueiro'!H126</f>
        <v>224274.18</v>
      </c>
      <c r="P42" s="235">
        <f>'08_Coqueiro'!H129</f>
        <v>72436</v>
      </c>
      <c r="Q42" s="234"/>
      <c r="R42" s="232">
        <f t="shared" si="73"/>
        <v>0</v>
      </c>
      <c r="S42" s="232">
        <f t="shared" si="74"/>
        <v>5806534.7999999998</v>
      </c>
      <c r="T42" s="232"/>
      <c r="U42" s="232">
        <f t="shared" si="75"/>
        <v>5806534.7999999998</v>
      </c>
      <c r="V42" s="100"/>
      <c r="W42" s="236">
        <f t="shared" si="76"/>
        <v>290326.74</v>
      </c>
      <c r="X42" s="236">
        <f t="shared" si="77"/>
        <v>232261.39199999999</v>
      </c>
      <c r="Y42" s="236">
        <f t="shared" si="78"/>
        <v>58065.347999999998</v>
      </c>
      <c r="Z42" s="236">
        <f t="shared" si="79"/>
        <v>174196.04399999999</v>
      </c>
      <c r="AA42" s="236">
        <f t="shared" si="80"/>
        <v>29032.673999999999</v>
      </c>
      <c r="AB42" s="100"/>
      <c r="AC42" s="232">
        <v>0</v>
      </c>
      <c r="AD42" s="232">
        <f>S42+SUM(W42:AA42)</f>
        <v>6590416.9979999997</v>
      </c>
      <c r="AE42" s="232">
        <f t="shared" si="82"/>
        <v>6590416.9979999997</v>
      </c>
      <c r="AF42" s="230"/>
      <c r="AG42" s="236">
        <f t="shared" si="83"/>
        <v>1766231.7554639999</v>
      </c>
      <c r="AH42" s="100"/>
      <c r="AI42" s="232">
        <f t="shared" si="84"/>
        <v>0</v>
      </c>
      <c r="AJ42" s="232">
        <f t="shared" si="85"/>
        <v>8356648.7534639994</v>
      </c>
      <c r="AK42" s="230"/>
      <c r="AL42" s="232">
        <f t="shared" si="86"/>
        <v>8356648.7534639994</v>
      </c>
      <c r="AM42" s="100"/>
      <c r="AN42" s="231">
        <f>AL42/H42</f>
        <v>58849.639108901407</v>
      </c>
      <c r="AO42" s="20"/>
    </row>
    <row r="43" spans="1:41" x14ac:dyDescent="0.25">
      <c r="A43" s="100"/>
      <c r="B43" s="100"/>
      <c r="C43" s="100"/>
      <c r="D43" s="100"/>
      <c r="E43" s="100"/>
      <c r="F43" s="100"/>
      <c r="G43" s="100"/>
      <c r="H43" s="100"/>
      <c r="I43" s="100"/>
      <c r="J43" s="233"/>
      <c r="K43" s="234"/>
      <c r="L43" s="233"/>
      <c r="M43" s="233"/>
      <c r="N43" s="233"/>
      <c r="O43" s="233"/>
      <c r="P43" s="233"/>
      <c r="Q43" s="234"/>
      <c r="R43" s="238"/>
      <c r="S43" s="238"/>
      <c r="T43" s="238"/>
      <c r="U43" s="238"/>
      <c r="V43" s="234"/>
      <c r="W43" s="233"/>
      <c r="X43" s="233"/>
      <c r="Y43" s="233"/>
      <c r="Z43" s="233"/>
      <c r="AA43" s="233"/>
      <c r="AB43" s="234"/>
      <c r="AC43" s="238"/>
      <c r="AD43" s="238"/>
      <c r="AE43" s="238"/>
      <c r="AF43" s="234"/>
      <c r="AG43" s="233"/>
      <c r="AH43" s="234"/>
      <c r="AI43" s="238"/>
      <c r="AJ43" s="238"/>
      <c r="AK43" s="234"/>
      <c r="AL43" s="238"/>
      <c r="AM43" s="234"/>
      <c r="AN43" s="233"/>
      <c r="AO43" s="20"/>
    </row>
    <row r="44" spans="1:41" x14ac:dyDescent="0.25">
      <c r="A44" s="100">
        <v>1</v>
      </c>
      <c r="B44" s="100" t="str">
        <f>MID('09_Legião'!$B$5,16,6)</f>
        <v>A4S3R3</v>
      </c>
      <c r="C44" s="100" t="str">
        <f>RIGHT(B44,2)</f>
        <v>R3</v>
      </c>
      <c r="D44" s="100" t="str">
        <f>MID('09_Legião'!$A$3,49,7)</f>
        <v>Malhado</v>
      </c>
      <c r="E44" s="100" t="str">
        <f>MID('09_Legião'!$A$3,34,6)</f>
        <v>Legião</v>
      </c>
      <c r="F44" s="100"/>
      <c r="G44" s="100">
        <v>13</v>
      </c>
      <c r="H44" s="100"/>
      <c r="I44" s="100"/>
      <c r="J44" s="233">
        <f>'09_Legião'!K5</f>
        <v>74337.03</v>
      </c>
      <c r="K44" s="234"/>
      <c r="L44" s="235">
        <v>0</v>
      </c>
      <c r="M44" s="235">
        <v>0</v>
      </c>
      <c r="N44" s="235">
        <v>0</v>
      </c>
      <c r="O44" s="235">
        <v>0</v>
      </c>
      <c r="P44" s="235">
        <v>0</v>
      </c>
      <c r="Q44" s="234"/>
      <c r="R44" s="232">
        <f>SUM(J44:J44)</f>
        <v>74337.03</v>
      </c>
      <c r="S44" s="232">
        <f>SUM(L44:P44)</f>
        <v>0</v>
      </c>
      <c r="T44" s="232"/>
      <c r="U44" s="232">
        <f t="shared" ref="U44" si="87">R44+S44</f>
        <v>74337.03</v>
      </c>
      <c r="V44" s="100"/>
      <c r="W44" s="236">
        <f t="shared" ref="W44" si="88">U44*0.05</f>
        <v>3716.8515000000002</v>
      </c>
      <c r="X44" s="236">
        <f t="shared" ref="X44" si="89">U44*0.04</f>
        <v>2973.4812000000002</v>
      </c>
      <c r="Y44" s="236">
        <f t="shared" ref="Y44" si="90">U44*0.01</f>
        <v>743.37030000000004</v>
      </c>
      <c r="Z44" s="236">
        <f t="shared" ref="Z44" si="91">U44*0.03</f>
        <v>2230.1108999999997</v>
      </c>
      <c r="AA44" s="236">
        <f t="shared" ref="AA44" si="92">U44*0.005</f>
        <v>371.68515000000002</v>
      </c>
      <c r="AB44" s="100"/>
      <c r="AC44" s="240">
        <f>R44+SUM(W44:AA44)</f>
        <v>84372.529049999997</v>
      </c>
      <c r="AD44" s="232">
        <v>0</v>
      </c>
      <c r="AE44" s="232">
        <f>SUM(AC44:AD44)</f>
        <v>84372.529049999997</v>
      </c>
      <c r="AF44" s="230"/>
      <c r="AG44" s="236">
        <f>AE44*0.268</f>
        <v>22611.837785399999</v>
      </c>
      <c r="AH44" s="100"/>
      <c r="AI44" s="232">
        <f>AC44+AC44*0.268</f>
        <v>106984.3668354</v>
      </c>
      <c r="AJ44" s="232">
        <f>AD44+AD44*0.268</f>
        <v>0</v>
      </c>
      <c r="AK44" s="230"/>
      <c r="AL44" s="232">
        <f>SUM(AI44:AJ44)</f>
        <v>106984.3668354</v>
      </c>
      <c r="AM44" s="100"/>
      <c r="AN44" s="231">
        <f>AL44/G44</f>
        <v>8229.5666796461537</v>
      </c>
      <c r="AO44" s="20"/>
    </row>
    <row r="45" spans="1:41" x14ac:dyDescent="0.25">
      <c r="A45" s="100">
        <v>1</v>
      </c>
      <c r="B45" s="100" t="str">
        <f>MID('09_Legião'!$B$32,16,6)</f>
        <v>A4S5R3</v>
      </c>
      <c r="C45" s="100" t="str">
        <f t="shared" ref="C45:C46" si="93">RIGHT(B45,2)</f>
        <v>R3</v>
      </c>
      <c r="D45" s="100" t="str">
        <f>MID('09_Legião'!$A$3,49,7)</f>
        <v>Malhado</v>
      </c>
      <c r="E45" s="100" t="str">
        <f>MID('09_Legião'!$A$3,34,6)</f>
        <v>Legião</v>
      </c>
      <c r="F45" s="100"/>
      <c r="G45" s="100">
        <v>22</v>
      </c>
      <c r="H45" s="100"/>
      <c r="I45" s="100"/>
      <c r="J45" s="233">
        <f>'09_Legião'!K32</f>
        <v>767384.04</v>
      </c>
      <c r="K45" s="234"/>
      <c r="L45" s="235">
        <v>0</v>
      </c>
      <c r="M45" s="235">
        <v>0</v>
      </c>
      <c r="N45" s="235">
        <v>0</v>
      </c>
      <c r="O45" s="235">
        <v>0</v>
      </c>
      <c r="P45" s="235">
        <v>0</v>
      </c>
      <c r="Q45" s="234"/>
      <c r="R45" s="232">
        <f t="shared" ref="R45:R47" si="94">SUM(J45:J45)</f>
        <v>767384.04</v>
      </c>
      <c r="S45" s="232">
        <f t="shared" ref="S45:S47" si="95">SUM(L45:P45)</f>
        <v>0</v>
      </c>
      <c r="T45" s="232"/>
      <c r="U45" s="232">
        <f t="shared" ref="U45:U47" si="96">R45+S45</f>
        <v>767384.04</v>
      </c>
      <c r="V45" s="100"/>
      <c r="W45" s="236">
        <f t="shared" ref="W45:W47" si="97">U45*0.05</f>
        <v>38369.202000000005</v>
      </c>
      <c r="X45" s="236">
        <f t="shared" ref="X45:X47" si="98">U45*0.04</f>
        <v>30695.361600000004</v>
      </c>
      <c r="Y45" s="236">
        <f t="shared" ref="Y45:Y47" si="99">U45*0.01</f>
        <v>7673.840400000001</v>
      </c>
      <c r="Z45" s="236">
        <f t="shared" ref="Z45:Z47" si="100">U45*0.03</f>
        <v>23021.521199999999</v>
      </c>
      <c r="AA45" s="236">
        <f t="shared" ref="AA45:AA47" si="101">U45*0.005</f>
        <v>3836.9202000000005</v>
      </c>
      <c r="AB45" s="100"/>
      <c r="AC45" s="240">
        <f t="shared" ref="AC45:AC46" si="102">R45+SUM(W45:AA45)</f>
        <v>870980.88540000003</v>
      </c>
      <c r="AD45" s="232">
        <v>0</v>
      </c>
      <c r="AE45" s="232">
        <f t="shared" ref="AE45:AE47" si="103">SUM(AC45:AD45)</f>
        <v>870980.88540000003</v>
      </c>
      <c r="AF45" s="230"/>
      <c r="AG45" s="236">
        <f t="shared" ref="AG45:AG47" si="104">AE45*0.268</f>
        <v>233422.87728720001</v>
      </c>
      <c r="AH45" s="100"/>
      <c r="AI45" s="232">
        <f t="shared" ref="AI45:AI47" si="105">AC45+AC45*0.268</f>
        <v>1104403.7626872</v>
      </c>
      <c r="AJ45" s="232">
        <f t="shared" ref="AJ45:AJ47" si="106">AD45+AD45*0.268</f>
        <v>0</v>
      </c>
      <c r="AK45" s="230"/>
      <c r="AL45" s="232">
        <f t="shared" ref="AL45:AL47" si="107">SUM(AI45:AJ45)</f>
        <v>1104403.7626872</v>
      </c>
      <c r="AM45" s="100"/>
      <c r="AN45" s="231">
        <f>AL45/G45</f>
        <v>50200.171031236365</v>
      </c>
      <c r="AO45" s="20"/>
    </row>
    <row r="46" spans="1:41" x14ac:dyDescent="0.25">
      <c r="A46" s="100">
        <v>1</v>
      </c>
      <c r="B46" s="100" t="str">
        <f>MID('09_Legião'!$B$52,16,6)</f>
        <v>A4S7R3</v>
      </c>
      <c r="C46" s="100" t="str">
        <f t="shared" si="93"/>
        <v>R3</v>
      </c>
      <c r="D46" s="100" t="str">
        <f>MID('09_Legião'!$A$3,49,7)</f>
        <v>Malhado</v>
      </c>
      <c r="E46" s="100" t="str">
        <f>MID('09_Legião'!$A$3,34,6)</f>
        <v>Legião</v>
      </c>
      <c r="F46" s="100"/>
      <c r="G46" s="100">
        <v>38</v>
      </c>
      <c r="H46" s="100"/>
      <c r="I46" s="100"/>
      <c r="J46" s="233">
        <f>'09_Legião'!K52</f>
        <v>1032007.3199263999</v>
      </c>
      <c r="K46" s="234"/>
      <c r="L46" s="235">
        <v>0</v>
      </c>
      <c r="M46" s="235">
        <v>0</v>
      </c>
      <c r="N46" s="235">
        <v>0</v>
      </c>
      <c r="O46" s="235">
        <v>0</v>
      </c>
      <c r="P46" s="235">
        <v>0</v>
      </c>
      <c r="Q46" s="234"/>
      <c r="R46" s="232">
        <f t="shared" si="94"/>
        <v>1032007.3199263999</v>
      </c>
      <c r="S46" s="232">
        <f t="shared" si="95"/>
        <v>0</v>
      </c>
      <c r="T46" s="232"/>
      <c r="U46" s="232">
        <f t="shared" si="96"/>
        <v>1032007.3199263999</v>
      </c>
      <c r="V46" s="100"/>
      <c r="W46" s="236">
        <f t="shared" si="97"/>
        <v>51600.365996319997</v>
      </c>
      <c r="X46" s="236">
        <f t="shared" si="98"/>
        <v>41280.292797055998</v>
      </c>
      <c r="Y46" s="236">
        <f t="shared" si="99"/>
        <v>10320.073199263999</v>
      </c>
      <c r="Z46" s="236">
        <f t="shared" si="100"/>
        <v>30960.219597791995</v>
      </c>
      <c r="AA46" s="236">
        <f t="shared" si="101"/>
        <v>5160.0365996319997</v>
      </c>
      <c r="AB46" s="100"/>
      <c r="AC46" s="240">
        <f t="shared" si="102"/>
        <v>1171328.3081164639</v>
      </c>
      <c r="AD46" s="232">
        <v>0</v>
      </c>
      <c r="AE46" s="232">
        <f t="shared" si="103"/>
        <v>1171328.3081164639</v>
      </c>
      <c r="AF46" s="230"/>
      <c r="AG46" s="236">
        <f t="shared" si="104"/>
        <v>313915.98657521233</v>
      </c>
      <c r="AH46" s="100"/>
      <c r="AI46" s="232">
        <f t="shared" si="105"/>
        <v>1485244.2946916763</v>
      </c>
      <c r="AJ46" s="232">
        <f t="shared" si="106"/>
        <v>0</v>
      </c>
      <c r="AK46" s="230"/>
      <c r="AL46" s="232">
        <f t="shared" si="107"/>
        <v>1485244.2946916763</v>
      </c>
      <c r="AM46" s="100"/>
      <c r="AN46" s="231">
        <f>AL46/G46</f>
        <v>39085.376176096746</v>
      </c>
      <c r="AO46" s="20"/>
    </row>
    <row r="47" spans="1:41" x14ac:dyDescent="0.25">
      <c r="A47" s="100"/>
      <c r="B47" s="100"/>
      <c r="C47" s="100"/>
      <c r="D47" s="100"/>
      <c r="E47" s="100"/>
      <c r="F47" s="100"/>
      <c r="G47" s="100"/>
      <c r="H47" s="100">
        <f>SUM(G44:G46)</f>
        <v>73</v>
      </c>
      <c r="I47" s="100"/>
      <c r="J47" s="233">
        <v>0</v>
      </c>
      <c r="K47" s="234"/>
      <c r="L47" s="235">
        <v>0</v>
      </c>
      <c r="M47" s="235">
        <v>0</v>
      </c>
      <c r="N47" s="235">
        <v>0</v>
      </c>
      <c r="O47" s="235">
        <v>0</v>
      </c>
      <c r="P47" s="235">
        <v>0</v>
      </c>
      <c r="Q47" s="234"/>
      <c r="R47" s="232">
        <f t="shared" si="94"/>
        <v>0</v>
      </c>
      <c r="S47" s="232">
        <f t="shared" si="95"/>
        <v>0</v>
      </c>
      <c r="T47" s="232"/>
      <c r="U47" s="232">
        <f t="shared" si="96"/>
        <v>0</v>
      </c>
      <c r="V47" s="100"/>
      <c r="W47" s="236">
        <f t="shared" si="97"/>
        <v>0</v>
      </c>
      <c r="X47" s="236">
        <f t="shared" si="98"/>
        <v>0</v>
      </c>
      <c r="Y47" s="236">
        <f t="shared" si="99"/>
        <v>0</v>
      </c>
      <c r="Z47" s="236">
        <f t="shared" si="100"/>
        <v>0</v>
      </c>
      <c r="AA47" s="236">
        <f t="shared" si="101"/>
        <v>0</v>
      </c>
      <c r="AB47" s="100"/>
      <c r="AC47" s="232">
        <v>0</v>
      </c>
      <c r="AD47" s="232">
        <f>S47+SUM(W47:AA47)</f>
        <v>0</v>
      </c>
      <c r="AE47" s="232">
        <f t="shared" si="103"/>
        <v>0</v>
      </c>
      <c r="AF47" s="230"/>
      <c r="AG47" s="236">
        <f t="shared" si="104"/>
        <v>0</v>
      </c>
      <c r="AH47" s="100"/>
      <c r="AI47" s="232">
        <f t="shared" si="105"/>
        <v>0</v>
      </c>
      <c r="AJ47" s="232">
        <f t="shared" si="106"/>
        <v>0</v>
      </c>
      <c r="AK47" s="230"/>
      <c r="AL47" s="232">
        <f t="shared" si="107"/>
        <v>0</v>
      </c>
      <c r="AM47" s="100"/>
      <c r="AN47" s="231">
        <f>AL47/H47</f>
        <v>0</v>
      </c>
      <c r="AO47" s="20"/>
    </row>
    <row r="48" spans="1:41" x14ac:dyDescent="0.25">
      <c r="A48" s="100"/>
      <c r="B48" s="100"/>
      <c r="C48" s="100"/>
      <c r="D48" s="100"/>
      <c r="E48" s="100"/>
      <c r="F48" s="100"/>
      <c r="G48" s="100"/>
      <c r="H48" s="100"/>
      <c r="I48" s="100"/>
      <c r="J48" s="233"/>
      <c r="K48" s="234"/>
      <c r="L48" s="233"/>
      <c r="M48" s="233"/>
      <c r="N48" s="233"/>
      <c r="O48" s="233"/>
      <c r="P48" s="233"/>
      <c r="Q48" s="234"/>
      <c r="R48" s="238"/>
      <c r="S48" s="238"/>
      <c r="T48" s="238"/>
      <c r="U48" s="238"/>
      <c r="V48" s="234"/>
      <c r="W48" s="233"/>
      <c r="X48" s="233"/>
      <c r="Y48" s="233"/>
      <c r="Z48" s="233"/>
      <c r="AA48" s="233"/>
      <c r="AB48" s="234"/>
      <c r="AC48" s="238"/>
      <c r="AD48" s="238"/>
      <c r="AE48" s="238"/>
      <c r="AF48" s="234"/>
      <c r="AG48" s="233"/>
      <c r="AH48" s="234"/>
      <c r="AI48" s="238"/>
      <c r="AJ48" s="238"/>
      <c r="AK48" s="234"/>
      <c r="AL48" s="238"/>
      <c r="AM48" s="234"/>
      <c r="AN48" s="233"/>
      <c r="AO48" s="20"/>
    </row>
    <row r="49" spans="1:41" x14ac:dyDescent="0.25">
      <c r="A49" s="100">
        <v>1</v>
      </c>
      <c r="B49" s="100" t="str">
        <f>MID('10_Amparo'!$B$5,16,6)</f>
        <v>A2S1R3</v>
      </c>
      <c r="C49" s="100" t="str">
        <f>RIGHT(B49,2)</f>
        <v>R3</v>
      </c>
      <c r="D49" s="100" t="str">
        <f>MID('10_Amparo'!$A$3,49,7)</f>
        <v>Malhado</v>
      </c>
      <c r="E49" s="100" t="str">
        <f>MID('10_Amparo'!$A$3,34,6)</f>
        <v>Amparo</v>
      </c>
      <c r="F49" s="100"/>
      <c r="G49" s="100">
        <v>35</v>
      </c>
      <c r="H49" s="100"/>
      <c r="I49" s="100"/>
      <c r="J49" s="233">
        <f>'10_Amparo'!K5</f>
        <v>901859.2</v>
      </c>
      <c r="K49" s="234"/>
      <c r="L49" s="235">
        <v>0</v>
      </c>
      <c r="M49" s="235">
        <v>0</v>
      </c>
      <c r="N49" s="235">
        <v>0</v>
      </c>
      <c r="O49" s="235">
        <v>0</v>
      </c>
      <c r="P49" s="235">
        <v>0</v>
      </c>
      <c r="Q49" s="234"/>
      <c r="R49" s="232">
        <f>SUM(J49:J49)</f>
        <v>901859.2</v>
      </c>
      <c r="S49" s="232">
        <f>SUM(L49:P49)</f>
        <v>0</v>
      </c>
      <c r="T49" s="232"/>
      <c r="U49" s="232">
        <f t="shared" ref="U49" si="108">R49+S49</f>
        <v>901859.2</v>
      </c>
      <c r="V49" s="100"/>
      <c r="W49" s="236">
        <f t="shared" ref="W49" si="109">U49*0.05</f>
        <v>45092.959999999999</v>
      </c>
      <c r="X49" s="236">
        <f t="shared" ref="X49" si="110">U49*0.04</f>
        <v>36074.368000000002</v>
      </c>
      <c r="Y49" s="236">
        <f t="shared" ref="Y49" si="111">U49*0.01</f>
        <v>9018.5920000000006</v>
      </c>
      <c r="Z49" s="236">
        <f t="shared" ref="Z49" si="112">U49*0.03</f>
        <v>27055.775999999998</v>
      </c>
      <c r="AA49" s="236">
        <f t="shared" ref="AA49" si="113">U49*0.005</f>
        <v>4509.2960000000003</v>
      </c>
      <c r="AB49" s="100"/>
      <c r="AC49" s="240">
        <f>R49+SUM(W49:AA49)</f>
        <v>1023610.1919999999</v>
      </c>
      <c r="AD49" s="232">
        <v>0</v>
      </c>
      <c r="AE49" s="232">
        <f>SUM(AC49:AD49)</f>
        <v>1023610.1919999999</v>
      </c>
      <c r="AF49" s="230"/>
      <c r="AG49" s="236">
        <f>AE49*0.268</f>
        <v>274327.531456</v>
      </c>
      <c r="AH49" s="100"/>
      <c r="AI49" s="232">
        <f>AC49+AC49*0.268</f>
        <v>1297937.723456</v>
      </c>
      <c r="AJ49" s="232">
        <f>AD49+AD49*0.268</f>
        <v>0</v>
      </c>
      <c r="AK49" s="230"/>
      <c r="AL49" s="232">
        <f>SUM(AI49:AJ49)</f>
        <v>1297937.723456</v>
      </c>
      <c r="AM49" s="100"/>
      <c r="AN49" s="231">
        <f>AL49/G49</f>
        <v>37083.934955885714</v>
      </c>
      <c r="AO49" s="20"/>
    </row>
    <row r="50" spans="1:41" x14ac:dyDescent="0.25">
      <c r="A50" s="100">
        <v>1</v>
      </c>
      <c r="B50" s="100" t="str">
        <f>MID('10_Amparo'!$B$71,16,6)</f>
        <v>A2S2R3</v>
      </c>
      <c r="C50" s="100" t="str">
        <f>RIGHT(B50,2)</f>
        <v>R3</v>
      </c>
      <c r="D50" s="100" t="str">
        <f>MID('10_Amparo'!$A$3,49,7)</f>
        <v>Malhado</v>
      </c>
      <c r="E50" s="100" t="str">
        <f>MID('10_Amparo'!$A$3,34,6)</f>
        <v>Amparo</v>
      </c>
      <c r="F50" s="100"/>
      <c r="G50" s="100">
        <v>49</v>
      </c>
      <c r="H50" s="100"/>
      <c r="I50" s="100"/>
      <c r="J50" s="233">
        <f>'10_Amparo'!K71</f>
        <v>1027315.7114999999</v>
      </c>
      <c r="K50" s="234"/>
      <c r="L50" s="235">
        <v>0</v>
      </c>
      <c r="M50" s="235">
        <v>0</v>
      </c>
      <c r="N50" s="235">
        <v>0</v>
      </c>
      <c r="O50" s="235">
        <v>0</v>
      </c>
      <c r="P50" s="235">
        <v>0</v>
      </c>
      <c r="Q50" s="234"/>
      <c r="R50" s="232">
        <f t="shared" ref="R50:R54" si="114">SUM(J50:J50)</f>
        <v>1027315.7114999999</v>
      </c>
      <c r="S50" s="232">
        <f t="shared" ref="S50:S54" si="115">SUM(L50:P50)</f>
        <v>0</v>
      </c>
      <c r="T50" s="232"/>
      <c r="U50" s="232">
        <f t="shared" ref="U50:U54" si="116">R50+S50</f>
        <v>1027315.7114999999</v>
      </c>
      <c r="V50" s="100"/>
      <c r="W50" s="236">
        <f t="shared" ref="W50:W54" si="117">U50*0.05</f>
        <v>51365.785574999994</v>
      </c>
      <c r="X50" s="236">
        <f t="shared" ref="X50:X54" si="118">U50*0.04</f>
        <v>41092.628459999993</v>
      </c>
      <c r="Y50" s="236">
        <f t="shared" ref="Y50:Y54" si="119">U50*0.01</f>
        <v>10273.157114999998</v>
      </c>
      <c r="Z50" s="236">
        <f t="shared" ref="Z50:Z54" si="120">U50*0.03</f>
        <v>30819.471344999994</v>
      </c>
      <c r="AA50" s="236">
        <f t="shared" ref="AA50:AA54" si="121">U50*0.005</f>
        <v>5136.5785574999991</v>
      </c>
      <c r="AB50" s="100"/>
      <c r="AC50" s="240">
        <f t="shared" ref="AC50:AC53" si="122">R50+SUM(W50:AA50)</f>
        <v>1166003.3325524998</v>
      </c>
      <c r="AD50" s="232">
        <v>0</v>
      </c>
      <c r="AE50" s="232">
        <f t="shared" ref="AE50:AE54" si="123">SUM(AC50:AD50)</f>
        <v>1166003.3325524998</v>
      </c>
      <c r="AF50" s="230"/>
      <c r="AG50" s="236">
        <f t="shared" ref="AG50:AG54" si="124">AE50*0.268</f>
        <v>312488.89312406996</v>
      </c>
      <c r="AH50" s="100"/>
      <c r="AI50" s="232">
        <f t="shared" ref="AI50:AI54" si="125">AC50+AC50*0.268</f>
        <v>1478492.2256765699</v>
      </c>
      <c r="AJ50" s="232">
        <f t="shared" ref="AJ50:AJ54" si="126">AD50+AD50*0.268</f>
        <v>0</v>
      </c>
      <c r="AK50" s="230"/>
      <c r="AL50" s="232">
        <f t="shared" ref="AL50:AL54" si="127">SUM(AI50:AJ50)</f>
        <v>1478492.2256765699</v>
      </c>
      <c r="AM50" s="100"/>
      <c r="AN50" s="231">
        <f>AL50/G50</f>
        <v>30173.310728093264</v>
      </c>
      <c r="AO50" s="20"/>
    </row>
    <row r="51" spans="1:41" x14ac:dyDescent="0.25">
      <c r="A51" s="100">
        <v>1</v>
      </c>
      <c r="B51" s="100" t="str">
        <f>MID('10_Amparo'!$B$21,16,6)</f>
        <v>A3S3R4</v>
      </c>
      <c r="C51" s="100" t="str">
        <f t="shared" ref="C51:C54" si="128">RIGHT(B51,2)</f>
        <v>R4</v>
      </c>
      <c r="D51" s="100" t="str">
        <f>MID('10_Amparo'!$A$3,49,7)</f>
        <v>Malhado</v>
      </c>
      <c r="E51" s="100" t="str">
        <f>MID('10_Amparo'!$A$3,34,6)</f>
        <v>Amparo</v>
      </c>
      <c r="F51" s="100"/>
      <c r="G51" s="100">
        <v>98</v>
      </c>
      <c r="H51" s="100"/>
      <c r="I51" s="100"/>
      <c r="J51" s="233">
        <f>'10_Amparo'!K21</f>
        <v>116492.07</v>
      </c>
      <c r="K51" s="234"/>
      <c r="L51" s="235">
        <v>0</v>
      </c>
      <c r="M51" s="235">
        <v>0</v>
      </c>
      <c r="N51" s="235">
        <v>0</v>
      </c>
      <c r="O51" s="235">
        <v>0</v>
      </c>
      <c r="P51" s="235">
        <v>0</v>
      </c>
      <c r="Q51" s="234"/>
      <c r="R51" s="232">
        <f t="shared" si="114"/>
        <v>116492.07</v>
      </c>
      <c r="S51" s="232">
        <f t="shared" si="115"/>
        <v>0</v>
      </c>
      <c r="T51" s="232"/>
      <c r="U51" s="232">
        <f t="shared" si="116"/>
        <v>116492.07</v>
      </c>
      <c r="V51" s="100"/>
      <c r="W51" s="236">
        <f t="shared" si="117"/>
        <v>5824.6035000000011</v>
      </c>
      <c r="X51" s="236">
        <f t="shared" si="118"/>
        <v>4659.6828000000005</v>
      </c>
      <c r="Y51" s="236">
        <f t="shared" si="119"/>
        <v>1164.9207000000001</v>
      </c>
      <c r="Z51" s="236">
        <f t="shared" si="120"/>
        <v>3494.7620999999999</v>
      </c>
      <c r="AA51" s="236">
        <f t="shared" si="121"/>
        <v>582.46035000000006</v>
      </c>
      <c r="AB51" s="100"/>
      <c r="AC51" s="240">
        <f t="shared" si="122"/>
        <v>132218.49945</v>
      </c>
      <c r="AD51" s="232">
        <v>0</v>
      </c>
      <c r="AE51" s="232">
        <f t="shared" si="123"/>
        <v>132218.49945</v>
      </c>
      <c r="AF51" s="230"/>
      <c r="AG51" s="236">
        <f t="shared" si="124"/>
        <v>35434.557852600003</v>
      </c>
      <c r="AH51" s="100"/>
      <c r="AI51" s="232">
        <f t="shared" si="125"/>
        <v>167653.05730260001</v>
      </c>
      <c r="AJ51" s="232">
        <f t="shared" si="126"/>
        <v>0</v>
      </c>
      <c r="AK51" s="230"/>
      <c r="AL51" s="232">
        <f t="shared" si="127"/>
        <v>167653.05730260001</v>
      </c>
      <c r="AM51" s="100"/>
      <c r="AN51" s="231">
        <f>AL51/G51</f>
        <v>1710.745482679592</v>
      </c>
      <c r="AO51" s="20"/>
    </row>
    <row r="52" spans="1:41" x14ac:dyDescent="0.25">
      <c r="A52" s="100">
        <v>1</v>
      </c>
      <c r="B52" s="100" t="str">
        <f>MID('10_Amparo'!$B$37,16,6)</f>
        <v>A3S5R3</v>
      </c>
      <c r="C52" s="100" t="str">
        <f t="shared" si="128"/>
        <v>R3</v>
      </c>
      <c r="D52" s="100" t="str">
        <f>MID('10_Amparo'!$A$3,49,7)</f>
        <v>Malhado</v>
      </c>
      <c r="E52" s="100" t="str">
        <f>MID('10_Amparo'!$A$3,34,6)</f>
        <v>Amparo</v>
      </c>
      <c r="F52" s="100"/>
      <c r="G52" s="100">
        <v>48</v>
      </c>
      <c r="H52" s="100"/>
      <c r="I52" s="100"/>
      <c r="J52" s="233">
        <f>'10_Amparo'!K37</f>
        <v>1154361.47</v>
      </c>
      <c r="K52" s="234"/>
      <c r="L52" s="235">
        <v>0</v>
      </c>
      <c r="M52" s="235">
        <v>0</v>
      </c>
      <c r="N52" s="235">
        <v>0</v>
      </c>
      <c r="O52" s="235">
        <v>0</v>
      </c>
      <c r="P52" s="235">
        <v>0</v>
      </c>
      <c r="Q52" s="234"/>
      <c r="R52" s="232">
        <f t="shared" si="114"/>
        <v>1154361.47</v>
      </c>
      <c r="S52" s="232">
        <f t="shared" si="115"/>
        <v>0</v>
      </c>
      <c r="T52" s="232"/>
      <c r="U52" s="232">
        <f t="shared" si="116"/>
        <v>1154361.47</v>
      </c>
      <c r="V52" s="100"/>
      <c r="W52" s="236">
        <f t="shared" si="117"/>
        <v>57718.073499999999</v>
      </c>
      <c r="X52" s="236">
        <f t="shared" si="118"/>
        <v>46174.4588</v>
      </c>
      <c r="Y52" s="236">
        <f t="shared" si="119"/>
        <v>11543.6147</v>
      </c>
      <c r="Z52" s="236">
        <f t="shared" si="120"/>
        <v>34630.844099999995</v>
      </c>
      <c r="AA52" s="236">
        <f t="shared" si="121"/>
        <v>5771.80735</v>
      </c>
      <c r="AB52" s="100"/>
      <c r="AC52" s="240">
        <f t="shared" si="122"/>
        <v>1310200.2684499999</v>
      </c>
      <c r="AD52" s="232">
        <v>0</v>
      </c>
      <c r="AE52" s="232">
        <f t="shared" si="123"/>
        <v>1310200.2684499999</v>
      </c>
      <c r="AF52" s="230"/>
      <c r="AG52" s="236">
        <f t="shared" si="124"/>
        <v>351133.67194460001</v>
      </c>
      <c r="AH52" s="100"/>
      <c r="AI52" s="232">
        <f t="shared" si="125"/>
        <v>1661333.9403945999</v>
      </c>
      <c r="AJ52" s="232">
        <f t="shared" si="126"/>
        <v>0</v>
      </c>
      <c r="AK52" s="230"/>
      <c r="AL52" s="232">
        <f t="shared" si="127"/>
        <v>1661333.9403945999</v>
      </c>
      <c r="AM52" s="100"/>
      <c r="AN52" s="231">
        <f>AL52/G52</f>
        <v>34611.123758220834</v>
      </c>
      <c r="AO52" s="20"/>
    </row>
    <row r="53" spans="1:41" x14ac:dyDescent="0.25">
      <c r="A53" s="100">
        <v>1</v>
      </c>
      <c r="B53" s="100" t="str">
        <f>MID('10_Amparo'!$B$53,16,6)</f>
        <v>A3S6R4</v>
      </c>
      <c r="C53" s="100" t="str">
        <f t="shared" si="128"/>
        <v>R4</v>
      </c>
      <c r="D53" s="100" t="str">
        <f>MID('10_Amparo'!$A$3,49,7)</f>
        <v>Malhado</v>
      </c>
      <c r="E53" s="100" t="str">
        <f>MID('10_Amparo'!$A$3,34,6)</f>
        <v>Amparo</v>
      </c>
      <c r="F53" s="100"/>
      <c r="G53" s="100">
        <v>24</v>
      </c>
      <c r="H53" s="100"/>
      <c r="I53" s="100"/>
      <c r="J53" s="233">
        <f>'10_Amparo'!K53</f>
        <v>734263.16999999993</v>
      </c>
      <c r="K53" s="234"/>
      <c r="L53" s="235">
        <v>0</v>
      </c>
      <c r="M53" s="235">
        <v>0</v>
      </c>
      <c r="N53" s="235">
        <v>0</v>
      </c>
      <c r="O53" s="235">
        <v>0</v>
      </c>
      <c r="P53" s="235">
        <v>0</v>
      </c>
      <c r="Q53" s="234"/>
      <c r="R53" s="232">
        <f t="shared" si="114"/>
        <v>734263.16999999993</v>
      </c>
      <c r="S53" s="232">
        <f t="shared" si="115"/>
        <v>0</v>
      </c>
      <c r="T53" s="232"/>
      <c r="U53" s="232">
        <f t="shared" si="116"/>
        <v>734263.16999999993</v>
      </c>
      <c r="V53" s="100"/>
      <c r="W53" s="236">
        <f t="shared" si="117"/>
        <v>36713.158499999998</v>
      </c>
      <c r="X53" s="236">
        <f t="shared" si="118"/>
        <v>29370.526799999996</v>
      </c>
      <c r="Y53" s="236">
        <f t="shared" si="119"/>
        <v>7342.631699999999</v>
      </c>
      <c r="Z53" s="236">
        <f t="shared" si="120"/>
        <v>22027.895099999998</v>
      </c>
      <c r="AA53" s="236">
        <f t="shared" si="121"/>
        <v>3671.3158499999995</v>
      </c>
      <c r="AB53" s="100"/>
      <c r="AC53" s="240">
        <f t="shared" si="122"/>
        <v>833388.69794999994</v>
      </c>
      <c r="AD53" s="232">
        <v>0</v>
      </c>
      <c r="AE53" s="232">
        <f t="shared" si="123"/>
        <v>833388.69794999994</v>
      </c>
      <c r="AF53" s="230"/>
      <c r="AG53" s="236">
        <f t="shared" si="124"/>
        <v>223348.17105060001</v>
      </c>
      <c r="AH53" s="100"/>
      <c r="AI53" s="232">
        <f t="shared" si="125"/>
        <v>1056736.8690006</v>
      </c>
      <c r="AJ53" s="232">
        <f t="shared" si="126"/>
        <v>0</v>
      </c>
      <c r="AK53" s="230"/>
      <c r="AL53" s="232">
        <f t="shared" si="127"/>
        <v>1056736.8690006</v>
      </c>
      <c r="AM53" s="100"/>
      <c r="AN53" s="231">
        <f>AL53/G53</f>
        <v>44030.702875024996</v>
      </c>
      <c r="AO53" s="20"/>
    </row>
    <row r="54" spans="1:41" x14ac:dyDescent="0.25">
      <c r="A54" s="100"/>
      <c r="B54" s="100"/>
      <c r="C54" s="100" t="str">
        <f t="shared" si="128"/>
        <v/>
      </c>
      <c r="D54" s="100"/>
      <c r="E54" s="100"/>
      <c r="F54" s="100"/>
      <c r="G54" s="100"/>
      <c r="H54" s="100">
        <f>SUM(G49:G53)</f>
        <v>254</v>
      </c>
      <c r="I54" s="100"/>
      <c r="J54" s="233">
        <v>0</v>
      </c>
      <c r="K54" s="234"/>
      <c r="L54" s="235">
        <f>'10_Amparo'!H88</f>
        <v>876930.37881000002</v>
      </c>
      <c r="M54" s="235">
        <f>'10_Amparo'!H94</f>
        <v>579371.18999999994</v>
      </c>
      <c r="N54" s="235">
        <f>'10_Amparo'!H102</f>
        <v>3619626.21</v>
      </c>
      <c r="O54" s="235">
        <f>'10_Amparo'!H122</f>
        <v>283051.52000000002</v>
      </c>
      <c r="P54" s="235">
        <f>'10_Amparo'!H127</f>
        <v>38988</v>
      </c>
      <c r="Q54" s="234"/>
      <c r="R54" s="232">
        <f t="shared" si="114"/>
        <v>0</v>
      </c>
      <c r="S54" s="232">
        <f t="shared" si="115"/>
        <v>5397967.2988099996</v>
      </c>
      <c r="T54" s="232"/>
      <c r="U54" s="232">
        <f t="shared" si="116"/>
        <v>5397967.2988099996</v>
      </c>
      <c r="V54" s="100"/>
      <c r="W54" s="236">
        <f t="shared" si="117"/>
        <v>269898.3649405</v>
      </c>
      <c r="X54" s="236">
        <f t="shared" si="118"/>
        <v>215918.6919524</v>
      </c>
      <c r="Y54" s="236">
        <f t="shared" si="119"/>
        <v>53979.672988099999</v>
      </c>
      <c r="Z54" s="236">
        <f t="shared" si="120"/>
        <v>161939.01896429999</v>
      </c>
      <c r="AA54" s="236">
        <f t="shared" si="121"/>
        <v>26989.83649405</v>
      </c>
      <c r="AB54" s="100"/>
      <c r="AC54" s="232">
        <v>0</v>
      </c>
      <c r="AD54" s="232">
        <f>S54+SUM(W54:AA54)</f>
        <v>6126692.8841493493</v>
      </c>
      <c r="AE54" s="232">
        <f t="shared" si="123"/>
        <v>6126692.8841493493</v>
      </c>
      <c r="AF54" s="230"/>
      <c r="AG54" s="236">
        <f t="shared" si="124"/>
        <v>1641953.6929520257</v>
      </c>
      <c r="AH54" s="100"/>
      <c r="AI54" s="232">
        <f t="shared" si="125"/>
        <v>0</v>
      </c>
      <c r="AJ54" s="232">
        <f t="shared" si="126"/>
        <v>7768646.577101375</v>
      </c>
      <c r="AK54" s="230"/>
      <c r="AL54" s="232">
        <f t="shared" si="127"/>
        <v>7768646.577101375</v>
      </c>
      <c r="AM54" s="100"/>
      <c r="AN54" s="231">
        <f>AL54/H54</f>
        <v>30585.222744493603</v>
      </c>
      <c r="AO54" s="20"/>
    </row>
    <row r="55" spans="1:41" x14ac:dyDescent="0.25">
      <c r="A55" s="100"/>
      <c r="B55" s="100"/>
      <c r="C55" s="100"/>
      <c r="D55" s="100"/>
      <c r="E55" s="100"/>
      <c r="F55" s="100"/>
      <c r="G55" s="100"/>
      <c r="H55" s="100"/>
      <c r="I55" s="100"/>
      <c r="J55" s="233"/>
      <c r="K55" s="234"/>
      <c r="L55" s="233"/>
      <c r="M55" s="233"/>
      <c r="N55" s="233"/>
      <c r="O55" s="233"/>
      <c r="P55" s="233"/>
      <c r="Q55" s="234"/>
      <c r="R55" s="238"/>
      <c r="S55" s="238"/>
      <c r="T55" s="238"/>
      <c r="U55" s="238"/>
      <c r="V55" s="234"/>
      <c r="W55" s="233"/>
      <c r="X55" s="233"/>
      <c r="Y55" s="233"/>
      <c r="Z55" s="233"/>
      <c r="AA55" s="233"/>
      <c r="AB55" s="234"/>
      <c r="AC55" s="238"/>
      <c r="AD55" s="238"/>
      <c r="AE55" s="238"/>
      <c r="AF55" s="234"/>
      <c r="AG55" s="233"/>
      <c r="AH55" s="234"/>
      <c r="AI55" s="238"/>
      <c r="AJ55" s="238"/>
      <c r="AK55" s="234"/>
      <c r="AL55" s="238"/>
      <c r="AM55" s="234"/>
      <c r="AN55" s="233"/>
      <c r="AO55" s="20"/>
    </row>
    <row r="56" spans="1:41" x14ac:dyDescent="0.25">
      <c r="A56" s="100">
        <v>1</v>
      </c>
      <c r="B56" s="100" t="str">
        <f>MID('11_Nerival'!$B$5,16,6)</f>
        <v>A1S1R4</v>
      </c>
      <c r="C56" s="100" t="str">
        <f t="shared" ref="C56:C63" si="129">RIGHT(B56,2)</f>
        <v>R4</v>
      </c>
      <c r="D56" s="100" t="str">
        <f>MID('11_Nerival'!$A$3,47,11)</f>
        <v>Barra Taipe</v>
      </c>
      <c r="E56" s="100" t="str">
        <f>MID('11_Nerival'!$A$3,31,7)</f>
        <v>Nerival</v>
      </c>
      <c r="F56" s="100"/>
      <c r="G56" s="100">
        <v>16</v>
      </c>
      <c r="H56" s="100"/>
      <c r="I56" s="100"/>
      <c r="J56" s="233">
        <f>'11_Nerival'!K5</f>
        <v>264588.04000000004</v>
      </c>
      <c r="K56" s="234"/>
      <c r="L56" s="235">
        <v>0</v>
      </c>
      <c r="M56" s="235">
        <v>0</v>
      </c>
      <c r="N56" s="235">
        <v>0</v>
      </c>
      <c r="O56" s="235">
        <v>0</v>
      </c>
      <c r="P56" s="235">
        <v>0</v>
      </c>
      <c r="Q56" s="234"/>
      <c r="R56" s="232">
        <f>SUM(J56:J56)</f>
        <v>264588.04000000004</v>
      </c>
      <c r="S56" s="232">
        <f>SUM(L56:P56)</f>
        <v>0</v>
      </c>
      <c r="T56" s="232"/>
      <c r="U56" s="232">
        <f t="shared" ref="U56" si="130">R56+S56</f>
        <v>264588.04000000004</v>
      </c>
      <c r="V56" s="100"/>
      <c r="W56" s="236">
        <f t="shared" ref="W56" si="131">U56*0.05</f>
        <v>13229.402000000002</v>
      </c>
      <c r="X56" s="236">
        <f t="shared" ref="X56" si="132">U56*0.04</f>
        <v>10583.521600000002</v>
      </c>
      <c r="Y56" s="236">
        <f t="shared" ref="Y56" si="133">U56*0.01</f>
        <v>2645.8804000000005</v>
      </c>
      <c r="Z56" s="236">
        <f t="shared" ref="Z56" si="134">U56*0.03</f>
        <v>7937.6412000000009</v>
      </c>
      <c r="AA56" s="236">
        <f t="shared" ref="AA56" si="135">U56*0.005</f>
        <v>1322.9402000000002</v>
      </c>
      <c r="AB56" s="100"/>
      <c r="AC56" s="240">
        <f>R56+SUM(W56:AA56)</f>
        <v>300307.42540000007</v>
      </c>
      <c r="AD56" s="232">
        <v>0</v>
      </c>
      <c r="AE56" s="232">
        <f>SUM(AC56:AD56)</f>
        <v>300307.42540000007</v>
      </c>
      <c r="AF56" s="230"/>
      <c r="AG56" s="236">
        <f>AE56*0.268</f>
        <v>80482.390007200025</v>
      </c>
      <c r="AH56" s="100"/>
      <c r="AI56" s="232">
        <f>AC56+AC56*0.268</f>
        <v>380789.81540720008</v>
      </c>
      <c r="AJ56" s="232">
        <f>AD56+AD56*0.268</f>
        <v>0</v>
      </c>
      <c r="AK56" s="230"/>
      <c r="AL56" s="232">
        <f>SUM(AI56:AJ56)</f>
        <v>380789.81540720008</v>
      </c>
      <c r="AM56" s="100"/>
      <c r="AN56" s="231">
        <f t="shared" ref="AN56:AN63" si="136">AL56/G56</f>
        <v>23799.363462950005</v>
      </c>
      <c r="AO56" s="20"/>
    </row>
    <row r="57" spans="1:41" x14ac:dyDescent="0.25">
      <c r="A57" s="100">
        <v>1</v>
      </c>
      <c r="B57" s="100" t="str">
        <f>MID('11_Nerival'!$B$19,16,6)</f>
        <v>A1S2R3</v>
      </c>
      <c r="C57" s="100" t="str">
        <f t="shared" si="129"/>
        <v>R3</v>
      </c>
      <c r="D57" s="100" t="str">
        <f>MID('11_Nerival'!$A$3,47,11)</f>
        <v>Barra Taipe</v>
      </c>
      <c r="E57" s="100" t="str">
        <f>MID('11_Nerival'!$A$3,31,7)</f>
        <v>Nerival</v>
      </c>
      <c r="F57" s="100"/>
      <c r="G57" s="100">
        <v>40</v>
      </c>
      <c r="H57" s="100"/>
      <c r="I57" s="100"/>
      <c r="J57" s="233">
        <f>'11_Nerival'!K19</f>
        <v>296480.31</v>
      </c>
      <c r="K57" s="234"/>
      <c r="L57" s="235">
        <v>0</v>
      </c>
      <c r="M57" s="235">
        <v>0</v>
      </c>
      <c r="N57" s="235">
        <v>0</v>
      </c>
      <c r="O57" s="235">
        <v>0</v>
      </c>
      <c r="P57" s="235">
        <v>0</v>
      </c>
      <c r="Q57" s="234"/>
      <c r="R57" s="232">
        <f t="shared" ref="R57:R64" si="137">SUM(J57:J57)</f>
        <v>296480.31</v>
      </c>
      <c r="S57" s="232">
        <f t="shared" ref="S57:S64" si="138">SUM(L57:P57)</f>
        <v>0</v>
      </c>
      <c r="T57" s="232"/>
      <c r="U57" s="232">
        <f t="shared" ref="U57:U64" si="139">R57+S57</f>
        <v>296480.31</v>
      </c>
      <c r="V57" s="100"/>
      <c r="W57" s="236">
        <f t="shared" ref="W57:W64" si="140">U57*0.05</f>
        <v>14824.015500000001</v>
      </c>
      <c r="X57" s="236">
        <f t="shared" ref="X57:X64" si="141">U57*0.04</f>
        <v>11859.2124</v>
      </c>
      <c r="Y57" s="236">
        <f t="shared" ref="Y57:Y64" si="142">U57*0.01</f>
        <v>2964.8031000000001</v>
      </c>
      <c r="Z57" s="236">
        <f t="shared" ref="Z57:Z64" si="143">U57*0.03</f>
        <v>8894.4092999999993</v>
      </c>
      <c r="AA57" s="236">
        <f t="shared" ref="AA57:AA64" si="144">U57*0.005</f>
        <v>1482.40155</v>
      </c>
      <c r="AB57" s="100"/>
      <c r="AC57" s="240">
        <f t="shared" ref="AC57:AC63" si="145">R57+SUM(W57:AA57)</f>
        <v>336505.15185000002</v>
      </c>
      <c r="AD57" s="232">
        <v>0</v>
      </c>
      <c r="AE57" s="232">
        <f t="shared" ref="AE57:AE64" si="146">SUM(AC57:AD57)</f>
        <v>336505.15185000002</v>
      </c>
      <c r="AF57" s="230"/>
      <c r="AG57" s="236">
        <f t="shared" ref="AG57:AG64" si="147">AE57*0.268</f>
        <v>90183.380695800006</v>
      </c>
      <c r="AH57" s="100"/>
      <c r="AI57" s="232">
        <f t="shared" ref="AI57:AI64" si="148">AC57+AC57*0.268</f>
        <v>426688.53254580003</v>
      </c>
      <c r="AJ57" s="232">
        <f t="shared" ref="AJ57:AJ64" si="149">AD57+AD57*0.268</f>
        <v>0</v>
      </c>
      <c r="AK57" s="230"/>
      <c r="AL57" s="232">
        <f t="shared" ref="AL57:AL64" si="150">SUM(AI57:AJ57)</f>
        <v>426688.53254580003</v>
      </c>
      <c r="AM57" s="100"/>
      <c r="AN57" s="231">
        <f t="shared" si="136"/>
        <v>10667.213313645001</v>
      </c>
      <c r="AO57" s="20"/>
    </row>
    <row r="58" spans="1:41" x14ac:dyDescent="0.25">
      <c r="A58" s="100">
        <v>1</v>
      </c>
      <c r="B58" s="100" t="str">
        <f>MID('11_Nerival'!$B$54,16,6)</f>
        <v>A2S1R4</v>
      </c>
      <c r="C58" s="100" t="str">
        <f t="shared" si="129"/>
        <v>R4</v>
      </c>
      <c r="D58" s="100" t="str">
        <f>MID('11_Nerival'!$A$3,47,11)</f>
        <v>Barra Taipe</v>
      </c>
      <c r="E58" s="100" t="str">
        <f>MID('11_Nerival'!$A$3,31,7)</f>
        <v>Nerival</v>
      </c>
      <c r="F58" s="100"/>
      <c r="G58" s="100">
        <v>16</v>
      </c>
      <c r="H58" s="100"/>
      <c r="I58" s="100"/>
      <c r="J58" s="233">
        <f>'11_Nerival'!K54</f>
        <v>836296</v>
      </c>
      <c r="K58" s="234"/>
      <c r="L58" s="235">
        <v>0</v>
      </c>
      <c r="M58" s="235">
        <v>0</v>
      </c>
      <c r="N58" s="235">
        <v>0</v>
      </c>
      <c r="O58" s="235">
        <v>0</v>
      </c>
      <c r="P58" s="235">
        <v>0</v>
      </c>
      <c r="Q58" s="234"/>
      <c r="R58" s="232">
        <f t="shared" si="137"/>
        <v>836296</v>
      </c>
      <c r="S58" s="232">
        <f t="shared" si="138"/>
        <v>0</v>
      </c>
      <c r="T58" s="232"/>
      <c r="U58" s="232">
        <f t="shared" si="139"/>
        <v>836296</v>
      </c>
      <c r="V58" s="100"/>
      <c r="W58" s="236">
        <f t="shared" si="140"/>
        <v>41814.800000000003</v>
      </c>
      <c r="X58" s="236">
        <f t="shared" si="141"/>
        <v>33451.840000000004</v>
      </c>
      <c r="Y58" s="236">
        <f t="shared" si="142"/>
        <v>8362.9600000000009</v>
      </c>
      <c r="Z58" s="236">
        <f t="shared" si="143"/>
        <v>25088.879999999997</v>
      </c>
      <c r="AA58" s="236">
        <f t="shared" si="144"/>
        <v>4181.4800000000005</v>
      </c>
      <c r="AB58" s="100"/>
      <c r="AC58" s="240">
        <f t="shared" si="145"/>
        <v>949195.96</v>
      </c>
      <c r="AD58" s="232">
        <v>0</v>
      </c>
      <c r="AE58" s="232">
        <f t="shared" si="146"/>
        <v>949195.96</v>
      </c>
      <c r="AF58" s="230"/>
      <c r="AG58" s="236">
        <f t="shared" si="147"/>
        <v>254384.51728</v>
      </c>
      <c r="AH58" s="100"/>
      <c r="AI58" s="232">
        <f t="shared" si="148"/>
        <v>1203580.47728</v>
      </c>
      <c r="AJ58" s="232">
        <f t="shared" si="149"/>
        <v>0</v>
      </c>
      <c r="AK58" s="230"/>
      <c r="AL58" s="232">
        <f t="shared" si="150"/>
        <v>1203580.47728</v>
      </c>
      <c r="AM58" s="100"/>
      <c r="AN58" s="231">
        <f t="shared" si="136"/>
        <v>75223.779829999999</v>
      </c>
      <c r="AO58" s="20"/>
    </row>
    <row r="59" spans="1:41" x14ac:dyDescent="0.25">
      <c r="A59" s="100">
        <v>1</v>
      </c>
      <c r="B59" s="100" t="str">
        <f>MID('11_Nerival'!$B$85,16,6)</f>
        <v>A2S2R3</v>
      </c>
      <c r="C59" s="100" t="str">
        <f t="shared" si="129"/>
        <v>R3</v>
      </c>
      <c r="D59" s="100" t="str">
        <f>MID('11_Nerival'!$A$3,47,11)</f>
        <v>Barra Taipe</v>
      </c>
      <c r="E59" s="100" t="str">
        <f>MID('11_Nerival'!$A$3,31,7)</f>
        <v>Nerival</v>
      </c>
      <c r="F59" s="100"/>
      <c r="G59" s="100">
        <v>41</v>
      </c>
      <c r="H59" s="100"/>
      <c r="I59" s="100"/>
      <c r="J59" s="233">
        <f>'11_Nerival'!K85</f>
        <v>2259860.0100000002</v>
      </c>
      <c r="K59" s="234"/>
      <c r="L59" s="235">
        <v>0</v>
      </c>
      <c r="M59" s="235">
        <v>0</v>
      </c>
      <c r="N59" s="235">
        <v>0</v>
      </c>
      <c r="O59" s="235">
        <v>0</v>
      </c>
      <c r="P59" s="235">
        <v>0</v>
      </c>
      <c r="Q59" s="234"/>
      <c r="R59" s="232">
        <f t="shared" si="137"/>
        <v>2259860.0100000002</v>
      </c>
      <c r="S59" s="232">
        <f t="shared" si="138"/>
        <v>0</v>
      </c>
      <c r="T59" s="232"/>
      <c r="U59" s="232">
        <f t="shared" si="139"/>
        <v>2259860.0100000002</v>
      </c>
      <c r="V59" s="100"/>
      <c r="W59" s="236">
        <f t="shared" si="140"/>
        <v>112993.00050000002</v>
      </c>
      <c r="X59" s="236">
        <f t="shared" si="141"/>
        <v>90394.400400000013</v>
      </c>
      <c r="Y59" s="236">
        <f t="shared" si="142"/>
        <v>22598.600100000003</v>
      </c>
      <c r="Z59" s="236">
        <f t="shared" si="143"/>
        <v>67795.800300000003</v>
      </c>
      <c r="AA59" s="236">
        <f t="shared" si="144"/>
        <v>11299.300050000002</v>
      </c>
      <c r="AB59" s="100"/>
      <c r="AC59" s="240">
        <f t="shared" si="145"/>
        <v>2564941.1113500004</v>
      </c>
      <c r="AD59" s="232">
        <v>0</v>
      </c>
      <c r="AE59" s="232">
        <f t="shared" si="146"/>
        <v>2564941.1113500004</v>
      </c>
      <c r="AF59" s="230"/>
      <c r="AG59" s="236">
        <f t="shared" si="147"/>
        <v>687404.21784180019</v>
      </c>
      <c r="AH59" s="100"/>
      <c r="AI59" s="232">
        <f t="shared" si="148"/>
        <v>3252345.3291918007</v>
      </c>
      <c r="AJ59" s="232">
        <f t="shared" si="149"/>
        <v>0</v>
      </c>
      <c r="AK59" s="230"/>
      <c r="AL59" s="232">
        <f t="shared" si="150"/>
        <v>3252345.3291918007</v>
      </c>
      <c r="AM59" s="100"/>
      <c r="AN59" s="231">
        <f t="shared" si="136"/>
        <v>79325.495833946363</v>
      </c>
      <c r="AO59" s="20"/>
    </row>
    <row r="60" spans="1:41" x14ac:dyDescent="0.25">
      <c r="A60" s="100">
        <v>1</v>
      </c>
      <c r="B60" s="100" t="str">
        <f>MID('11_Nerival'!$B$116,16,6)</f>
        <v>A3S2R3</v>
      </c>
      <c r="C60" s="100" t="str">
        <f t="shared" si="129"/>
        <v>R3</v>
      </c>
      <c r="D60" s="100" t="str">
        <f>MID('11_Nerival'!$A$3,47,11)</f>
        <v>Barra Taipe</v>
      </c>
      <c r="E60" s="100" t="str">
        <f>MID('11_Nerival'!$A$3,31,7)</f>
        <v>Nerival</v>
      </c>
      <c r="F60" s="100"/>
      <c r="G60" s="100">
        <v>4</v>
      </c>
      <c r="H60" s="100"/>
      <c r="I60" s="100"/>
      <c r="J60" s="233">
        <f>'11_Nerival'!K116</f>
        <v>229768.93000000002</v>
      </c>
      <c r="K60" s="234"/>
      <c r="L60" s="235">
        <v>0</v>
      </c>
      <c r="M60" s="235">
        <v>0</v>
      </c>
      <c r="N60" s="235">
        <v>0</v>
      </c>
      <c r="O60" s="235">
        <v>0</v>
      </c>
      <c r="P60" s="235">
        <v>0</v>
      </c>
      <c r="Q60" s="234"/>
      <c r="R60" s="232">
        <f t="shared" si="137"/>
        <v>229768.93000000002</v>
      </c>
      <c r="S60" s="232">
        <f t="shared" si="138"/>
        <v>0</v>
      </c>
      <c r="T60" s="232"/>
      <c r="U60" s="232">
        <f t="shared" si="139"/>
        <v>229768.93000000002</v>
      </c>
      <c r="V60" s="100"/>
      <c r="W60" s="236">
        <f t="shared" si="140"/>
        <v>11488.446500000002</v>
      </c>
      <c r="X60" s="236">
        <f t="shared" si="141"/>
        <v>9190.7572000000018</v>
      </c>
      <c r="Y60" s="236">
        <f t="shared" si="142"/>
        <v>2297.6893000000005</v>
      </c>
      <c r="Z60" s="236">
        <f t="shared" si="143"/>
        <v>6893.0679</v>
      </c>
      <c r="AA60" s="236">
        <f t="shared" si="144"/>
        <v>1148.8446500000002</v>
      </c>
      <c r="AB60" s="100"/>
      <c r="AC60" s="240">
        <f t="shared" si="145"/>
        <v>260787.73555000004</v>
      </c>
      <c r="AD60" s="232">
        <v>0</v>
      </c>
      <c r="AE60" s="232">
        <f t="shared" si="146"/>
        <v>260787.73555000004</v>
      </c>
      <c r="AF60" s="230"/>
      <c r="AG60" s="236">
        <f t="shared" si="147"/>
        <v>69891.113127400022</v>
      </c>
      <c r="AH60" s="100"/>
      <c r="AI60" s="232">
        <f t="shared" si="148"/>
        <v>330678.84867740003</v>
      </c>
      <c r="AJ60" s="232">
        <f t="shared" si="149"/>
        <v>0</v>
      </c>
      <c r="AK60" s="230"/>
      <c r="AL60" s="232">
        <f t="shared" si="150"/>
        <v>330678.84867740003</v>
      </c>
      <c r="AM60" s="100"/>
      <c r="AN60" s="231">
        <f t="shared" si="136"/>
        <v>82669.712169350008</v>
      </c>
      <c r="AO60" s="20"/>
    </row>
    <row r="61" spans="1:41" x14ac:dyDescent="0.25">
      <c r="A61" s="100">
        <v>1</v>
      </c>
      <c r="B61" s="100" t="str">
        <f>MID('11_Nerival'!$B$143,16,6)</f>
        <v>A3S4R3</v>
      </c>
      <c r="C61" s="100" t="str">
        <f t="shared" si="129"/>
        <v>R3</v>
      </c>
      <c r="D61" s="100" t="str">
        <f>MID('11_Nerival'!$A$3,47,11)</f>
        <v>Barra Taipe</v>
      </c>
      <c r="E61" s="100" t="str">
        <f>MID('11_Nerival'!$A$3,31,7)</f>
        <v>Nerival</v>
      </c>
      <c r="F61" s="100"/>
      <c r="G61" s="100">
        <v>9</v>
      </c>
      <c r="H61" s="100"/>
      <c r="I61" s="100"/>
      <c r="J61" s="233">
        <f>'11_Nerival'!K143</f>
        <v>155966.44999999998</v>
      </c>
      <c r="K61" s="234"/>
      <c r="L61" s="235">
        <v>0</v>
      </c>
      <c r="M61" s="235">
        <v>0</v>
      </c>
      <c r="N61" s="235">
        <v>0</v>
      </c>
      <c r="O61" s="235">
        <v>0</v>
      </c>
      <c r="P61" s="235">
        <v>0</v>
      </c>
      <c r="Q61" s="234"/>
      <c r="R61" s="232">
        <f t="shared" si="137"/>
        <v>155966.44999999998</v>
      </c>
      <c r="S61" s="232">
        <f t="shared" si="138"/>
        <v>0</v>
      </c>
      <c r="T61" s="232"/>
      <c r="U61" s="232">
        <f t="shared" si="139"/>
        <v>155966.44999999998</v>
      </c>
      <c r="V61" s="100"/>
      <c r="W61" s="236">
        <f t="shared" si="140"/>
        <v>7798.3224999999993</v>
      </c>
      <c r="X61" s="236">
        <f t="shared" si="141"/>
        <v>6238.6579999999994</v>
      </c>
      <c r="Y61" s="236">
        <f t="shared" si="142"/>
        <v>1559.6644999999999</v>
      </c>
      <c r="Z61" s="236">
        <f t="shared" si="143"/>
        <v>4678.9934999999996</v>
      </c>
      <c r="AA61" s="236">
        <f t="shared" si="144"/>
        <v>779.83224999999993</v>
      </c>
      <c r="AB61" s="100"/>
      <c r="AC61" s="240">
        <f t="shared" si="145"/>
        <v>177021.92074999999</v>
      </c>
      <c r="AD61" s="232">
        <v>0</v>
      </c>
      <c r="AE61" s="232">
        <f t="shared" si="146"/>
        <v>177021.92074999999</v>
      </c>
      <c r="AF61" s="230"/>
      <c r="AG61" s="236">
        <f t="shared" si="147"/>
        <v>47441.874760999999</v>
      </c>
      <c r="AH61" s="100"/>
      <c r="AI61" s="232">
        <f t="shared" si="148"/>
        <v>224463.79551099997</v>
      </c>
      <c r="AJ61" s="232">
        <f t="shared" si="149"/>
        <v>0</v>
      </c>
      <c r="AK61" s="230"/>
      <c r="AL61" s="232">
        <f t="shared" si="150"/>
        <v>224463.79551099997</v>
      </c>
      <c r="AM61" s="100"/>
      <c r="AN61" s="231">
        <f t="shared" si="136"/>
        <v>24940.42172344444</v>
      </c>
      <c r="AO61" s="20"/>
    </row>
    <row r="62" spans="1:41" x14ac:dyDescent="0.25">
      <c r="A62" s="100">
        <v>1</v>
      </c>
      <c r="B62" s="100" t="str">
        <f>MID('11_Nerival'!$B$157,16,6)</f>
        <v>A3S5R4</v>
      </c>
      <c r="C62" s="100" t="str">
        <f t="shared" si="129"/>
        <v>R4</v>
      </c>
      <c r="D62" s="100" t="str">
        <f>MID('11_Nerival'!$A$3,47,11)</f>
        <v>Barra Taipe</v>
      </c>
      <c r="E62" s="100" t="str">
        <f>MID('11_Nerival'!$A$3,31,7)</f>
        <v>Nerival</v>
      </c>
      <c r="F62" s="100"/>
      <c r="G62" s="100">
        <v>16</v>
      </c>
      <c r="H62" s="100"/>
      <c r="I62" s="100"/>
      <c r="J62" s="233">
        <f>'11_Nerival'!K157</f>
        <v>349817.36000000004</v>
      </c>
      <c r="K62" s="234"/>
      <c r="L62" s="235">
        <v>0</v>
      </c>
      <c r="M62" s="235">
        <v>0</v>
      </c>
      <c r="N62" s="235">
        <v>0</v>
      </c>
      <c r="O62" s="235">
        <v>0</v>
      </c>
      <c r="P62" s="235">
        <v>0</v>
      </c>
      <c r="Q62" s="234"/>
      <c r="R62" s="232">
        <f t="shared" si="137"/>
        <v>349817.36000000004</v>
      </c>
      <c r="S62" s="232">
        <f t="shared" si="138"/>
        <v>0</v>
      </c>
      <c r="T62" s="232"/>
      <c r="U62" s="232">
        <f t="shared" si="139"/>
        <v>349817.36000000004</v>
      </c>
      <c r="V62" s="100"/>
      <c r="W62" s="236">
        <f t="shared" si="140"/>
        <v>17490.868000000002</v>
      </c>
      <c r="X62" s="236">
        <f t="shared" si="141"/>
        <v>13992.694400000002</v>
      </c>
      <c r="Y62" s="236">
        <f t="shared" si="142"/>
        <v>3498.1736000000005</v>
      </c>
      <c r="Z62" s="236">
        <f t="shared" si="143"/>
        <v>10494.5208</v>
      </c>
      <c r="AA62" s="236">
        <f t="shared" si="144"/>
        <v>1749.0868000000003</v>
      </c>
      <c r="AB62" s="100"/>
      <c r="AC62" s="240">
        <f t="shared" si="145"/>
        <v>397042.70360000007</v>
      </c>
      <c r="AD62" s="232">
        <v>0</v>
      </c>
      <c r="AE62" s="232">
        <f t="shared" si="146"/>
        <v>397042.70360000007</v>
      </c>
      <c r="AF62" s="230"/>
      <c r="AG62" s="236">
        <f t="shared" si="147"/>
        <v>106407.44456480003</v>
      </c>
      <c r="AH62" s="100"/>
      <c r="AI62" s="232">
        <f t="shared" si="148"/>
        <v>503450.14816480008</v>
      </c>
      <c r="AJ62" s="232">
        <f t="shared" si="149"/>
        <v>0</v>
      </c>
      <c r="AK62" s="230"/>
      <c r="AL62" s="232">
        <f t="shared" si="150"/>
        <v>503450.14816480008</v>
      </c>
      <c r="AM62" s="100"/>
      <c r="AN62" s="231">
        <f t="shared" si="136"/>
        <v>31465.634260300005</v>
      </c>
      <c r="AO62" s="20"/>
    </row>
    <row r="63" spans="1:41" x14ac:dyDescent="0.25">
      <c r="A63" s="100">
        <v>1</v>
      </c>
      <c r="B63" s="100" t="str">
        <f>MID('11_Nerival'!$B$186,16,6)</f>
        <v>A3S6R3</v>
      </c>
      <c r="C63" s="100" t="str">
        <f t="shared" si="129"/>
        <v>R3</v>
      </c>
      <c r="D63" s="100" t="str">
        <f>MID('11_Nerival'!$A$3,47,11)</f>
        <v>Barra Taipe</v>
      </c>
      <c r="E63" s="100" t="str">
        <f>MID('11_Nerival'!$A$3,31,7)</f>
        <v>Nerival</v>
      </c>
      <c r="F63" s="100"/>
      <c r="G63" s="100">
        <v>34</v>
      </c>
      <c r="H63" s="100"/>
      <c r="I63" s="100"/>
      <c r="J63" s="233">
        <f>'11_Nerival'!K186</f>
        <v>984713.27999999991</v>
      </c>
      <c r="K63" s="234"/>
      <c r="L63" s="235">
        <v>0</v>
      </c>
      <c r="M63" s="235">
        <v>0</v>
      </c>
      <c r="N63" s="235">
        <v>0</v>
      </c>
      <c r="O63" s="235">
        <v>0</v>
      </c>
      <c r="P63" s="235">
        <v>0</v>
      </c>
      <c r="Q63" s="234"/>
      <c r="R63" s="232">
        <f t="shared" si="137"/>
        <v>984713.27999999991</v>
      </c>
      <c r="S63" s="232">
        <f t="shared" si="138"/>
        <v>0</v>
      </c>
      <c r="T63" s="232"/>
      <c r="U63" s="232">
        <f t="shared" si="139"/>
        <v>984713.27999999991</v>
      </c>
      <c r="V63" s="100"/>
      <c r="W63" s="236">
        <f t="shared" si="140"/>
        <v>49235.663999999997</v>
      </c>
      <c r="X63" s="236">
        <f t="shared" si="141"/>
        <v>39388.531199999998</v>
      </c>
      <c r="Y63" s="236">
        <f t="shared" si="142"/>
        <v>9847.1327999999994</v>
      </c>
      <c r="Z63" s="236">
        <f t="shared" si="143"/>
        <v>29541.398399999995</v>
      </c>
      <c r="AA63" s="236">
        <f t="shared" si="144"/>
        <v>4923.5663999999997</v>
      </c>
      <c r="AB63" s="100"/>
      <c r="AC63" s="240">
        <f t="shared" si="145"/>
        <v>1117649.5728</v>
      </c>
      <c r="AD63" s="232">
        <v>0</v>
      </c>
      <c r="AE63" s="232">
        <f t="shared" si="146"/>
        <v>1117649.5728</v>
      </c>
      <c r="AF63" s="230"/>
      <c r="AG63" s="236">
        <f t="shared" si="147"/>
        <v>299530.08551040001</v>
      </c>
      <c r="AH63" s="100"/>
      <c r="AI63" s="232">
        <f t="shared" si="148"/>
        <v>1417179.6583103999</v>
      </c>
      <c r="AJ63" s="232">
        <f t="shared" si="149"/>
        <v>0</v>
      </c>
      <c r="AK63" s="230"/>
      <c r="AL63" s="232">
        <f t="shared" si="150"/>
        <v>1417179.6583103999</v>
      </c>
      <c r="AM63" s="100"/>
      <c r="AN63" s="231">
        <f t="shared" si="136"/>
        <v>41681.754656188234</v>
      </c>
      <c r="AO63" s="20"/>
    </row>
    <row r="64" spans="1:41" x14ac:dyDescent="0.25">
      <c r="A64" s="100"/>
      <c r="B64" s="100"/>
      <c r="C64" s="100"/>
      <c r="D64" s="100"/>
      <c r="E64" s="100"/>
      <c r="F64" s="100"/>
      <c r="G64" s="100"/>
      <c r="H64" s="100">
        <f>SUM(G56:G63)</f>
        <v>176</v>
      </c>
      <c r="I64" s="100"/>
      <c r="J64" s="233">
        <v>0</v>
      </c>
      <c r="K64" s="234"/>
      <c r="L64" s="235">
        <f>'11_Nerival'!H203</f>
        <v>79985.100000000006</v>
      </c>
      <c r="M64" s="235">
        <f>'11_Nerival'!H216</f>
        <v>109222.28</v>
      </c>
      <c r="N64" s="235">
        <f>'11_Nerival'!H221</f>
        <v>3214068.9799999995</v>
      </c>
      <c r="O64" s="235">
        <f>'11_Nerival'!H241</f>
        <v>215241.56</v>
      </c>
      <c r="P64" s="235">
        <f>'11_Nerival'!H246</f>
        <v>31672</v>
      </c>
      <c r="Q64" s="100"/>
      <c r="R64" s="232">
        <f t="shared" si="137"/>
        <v>0</v>
      </c>
      <c r="S64" s="232">
        <f t="shared" si="138"/>
        <v>3650189.9199999995</v>
      </c>
      <c r="T64" s="232"/>
      <c r="U64" s="232">
        <f t="shared" si="139"/>
        <v>3650189.9199999995</v>
      </c>
      <c r="V64" s="100"/>
      <c r="W64" s="236">
        <f t="shared" si="140"/>
        <v>182509.49599999998</v>
      </c>
      <c r="X64" s="236">
        <f t="shared" si="141"/>
        <v>146007.59679999997</v>
      </c>
      <c r="Y64" s="236">
        <f t="shared" si="142"/>
        <v>36501.899199999993</v>
      </c>
      <c r="Z64" s="236">
        <f t="shared" si="143"/>
        <v>109505.69759999998</v>
      </c>
      <c r="AA64" s="236">
        <f t="shared" si="144"/>
        <v>18250.949599999996</v>
      </c>
      <c r="AB64" s="100"/>
      <c r="AC64" s="232">
        <v>0</v>
      </c>
      <c r="AD64" s="232">
        <f>S64+SUM(W64:AA64)</f>
        <v>4142965.5591999996</v>
      </c>
      <c r="AE64" s="232">
        <f t="shared" si="146"/>
        <v>4142965.5591999996</v>
      </c>
      <c r="AF64" s="230"/>
      <c r="AG64" s="236">
        <f t="shared" si="147"/>
        <v>1110314.7698655999</v>
      </c>
      <c r="AH64" s="232">
        <f>W64+SUM(AA64:AE64)</f>
        <v>8486691.5639999993</v>
      </c>
      <c r="AI64" s="232">
        <f t="shared" si="148"/>
        <v>0</v>
      </c>
      <c r="AJ64" s="232">
        <f t="shared" si="149"/>
        <v>5253280.3290655995</v>
      </c>
      <c r="AK64" s="230"/>
      <c r="AL64" s="232">
        <f t="shared" si="150"/>
        <v>5253280.3290655995</v>
      </c>
      <c r="AM64" s="100"/>
      <c r="AN64" s="231">
        <f>AL64/H64</f>
        <v>29848.183687872723</v>
      </c>
      <c r="AO64" s="20"/>
    </row>
    <row r="65" spans="1:41" x14ac:dyDescent="0.25">
      <c r="A65" s="100"/>
      <c r="B65" s="100"/>
      <c r="C65" s="100"/>
      <c r="D65" s="100"/>
      <c r="E65" s="100"/>
      <c r="F65" s="100"/>
      <c r="G65" s="100"/>
      <c r="H65" s="100"/>
      <c r="I65" s="100"/>
      <c r="J65" s="100"/>
      <c r="K65" s="100"/>
      <c r="L65" s="100"/>
      <c r="M65" s="100"/>
      <c r="N65" s="100"/>
      <c r="O65" s="100"/>
      <c r="P65" s="100"/>
      <c r="Q65" s="100"/>
      <c r="R65" s="239"/>
      <c r="S65" s="239"/>
      <c r="T65" s="239"/>
      <c r="U65" s="239"/>
      <c r="V65" s="100"/>
      <c r="W65" s="100"/>
      <c r="X65" s="100"/>
      <c r="Y65" s="100"/>
      <c r="Z65" s="100"/>
      <c r="AA65" s="100"/>
      <c r="AB65" s="100"/>
      <c r="AC65" s="239"/>
      <c r="AD65" s="239"/>
      <c r="AE65" s="239"/>
      <c r="AF65" s="100"/>
      <c r="AG65" s="100"/>
      <c r="AH65" s="100"/>
      <c r="AI65" s="239"/>
      <c r="AJ65" s="239"/>
      <c r="AK65" s="100"/>
      <c r="AL65" s="239"/>
      <c r="AM65" s="100"/>
      <c r="AN65" s="100"/>
      <c r="AO65" s="20"/>
    </row>
    <row r="66" spans="1:41" x14ac:dyDescent="0.25">
      <c r="A66" s="100">
        <v>1</v>
      </c>
      <c r="B66" s="100" t="str">
        <f>MID('12_Cano'!$B$5,16,6)</f>
        <v>A5S1R4</v>
      </c>
      <c r="C66" s="100" t="str">
        <f>RIGHT(B66,2)</f>
        <v>R4</v>
      </c>
      <c r="D66" s="100" t="str">
        <f>MID('12_Cano'!$A$3,47,11)</f>
        <v>Barra Taipe</v>
      </c>
      <c r="E66" s="100" t="str">
        <f>MID('12_Cano'!$A$3,34,4)</f>
        <v>Cano</v>
      </c>
      <c r="F66" s="100"/>
      <c r="G66" s="100">
        <v>115</v>
      </c>
      <c r="H66" s="100"/>
      <c r="I66" s="100"/>
      <c r="J66" s="233">
        <f>'12_Cano'!K5</f>
        <v>1086649.45</v>
      </c>
      <c r="K66" s="234"/>
      <c r="L66" s="235">
        <v>0</v>
      </c>
      <c r="M66" s="235">
        <v>0</v>
      </c>
      <c r="N66" s="235">
        <v>0</v>
      </c>
      <c r="O66" s="235">
        <v>0</v>
      </c>
      <c r="P66" s="235">
        <v>0</v>
      </c>
      <c r="Q66" s="234"/>
      <c r="R66" s="232">
        <f>SUM(J66:J66)</f>
        <v>1086649.45</v>
      </c>
      <c r="S66" s="232">
        <f>SUM(L66:P66)</f>
        <v>0</v>
      </c>
      <c r="T66" s="232"/>
      <c r="U66" s="232">
        <f t="shared" ref="U66" si="151">R66+S66</f>
        <v>1086649.45</v>
      </c>
      <c r="V66" s="100"/>
      <c r="W66" s="236">
        <f t="shared" ref="W66" si="152">U66*0.05</f>
        <v>54332.472500000003</v>
      </c>
      <c r="X66" s="236">
        <f t="shared" ref="X66" si="153">U66*0.04</f>
        <v>43465.977999999996</v>
      </c>
      <c r="Y66" s="236">
        <f t="shared" ref="Y66" si="154">U66*0.01</f>
        <v>10866.494499999999</v>
      </c>
      <c r="Z66" s="236">
        <f t="shared" ref="Z66" si="155">U66*0.03</f>
        <v>32599.483499999998</v>
      </c>
      <c r="AA66" s="236">
        <f t="shared" ref="AA66" si="156">U66*0.005</f>
        <v>5433.2472499999994</v>
      </c>
      <c r="AB66" s="100"/>
      <c r="AC66" s="240">
        <f>R66+SUM(W66:AA66)</f>
        <v>1233347.1257499999</v>
      </c>
      <c r="AD66" s="232">
        <v>0</v>
      </c>
      <c r="AE66" s="232">
        <f>SUM(AC66:AD66)</f>
        <v>1233347.1257499999</v>
      </c>
      <c r="AF66" s="230"/>
      <c r="AG66" s="236">
        <f>AE66*0.268</f>
        <v>330537.02970099996</v>
      </c>
      <c r="AH66" s="100"/>
      <c r="AI66" s="232">
        <f>AC66+AC66*0.268</f>
        <v>1563884.1554509997</v>
      </c>
      <c r="AJ66" s="232">
        <f>AD66+AD66*0.268</f>
        <v>0</v>
      </c>
      <c r="AK66" s="230"/>
      <c r="AL66" s="232">
        <f>SUM(AI66:AJ66)</f>
        <v>1563884.1554509997</v>
      </c>
      <c r="AM66" s="100"/>
      <c r="AN66" s="231">
        <f>AL66/G66</f>
        <v>13598.99265609565</v>
      </c>
      <c r="AO66" s="20"/>
    </row>
    <row r="67" spans="1:41" x14ac:dyDescent="0.25">
      <c r="A67" s="100"/>
      <c r="B67" s="100"/>
      <c r="C67" s="100"/>
      <c r="D67" s="100"/>
      <c r="E67" s="100"/>
      <c r="F67" s="100"/>
      <c r="G67" s="100"/>
      <c r="H67" s="100">
        <f>G66</f>
        <v>115</v>
      </c>
      <c r="I67" s="100"/>
      <c r="J67" s="233">
        <v>0</v>
      </c>
      <c r="K67" s="234"/>
      <c r="L67" s="235">
        <v>0</v>
      </c>
      <c r="M67" s="235">
        <v>0</v>
      </c>
      <c r="N67" s="235">
        <v>0</v>
      </c>
      <c r="O67" s="235">
        <v>0</v>
      </c>
      <c r="P67" s="235">
        <v>0</v>
      </c>
      <c r="Q67" s="100"/>
      <c r="R67" s="232">
        <f>SUM(J67:J67)</f>
        <v>0</v>
      </c>
      <c r="S67" s="232">
        <f>SUM(L67:P67)</f>
        <v>0</v>
      </c>
      <c r="T67" s="232"/>
      <c r="U67" s="232">
        <f t="shared" ref="U67" si="157">R67+S67</f>
        <v>0</v>
      </c>
      <c r="V67" s="100"/>
      <c r="W67" s="236">
        <f t="shared" ref="W67" si="158">U67*0.05</f>
        <v>0</v>
      </c>
      <c r="X67" s="236">
        <f t="shared" ref="X67" si="159">U67*0.04</f>
        <v>0</v>
      </c>
      <c r="Y67" s="236">
        <f t="shared" ref="Y67" si="160">U67*0.01</f>
        <v>0</v>
      </c>
      <c r="Z67" s="236">
        <f t="shared" ref="Z67" si="161">U67*0.03</f>
        <v>0</v>
      </c>
      <c r="AA67" s="236">
        <f t="shared" ref="AA67" si="162">U67*0.005</f>
        <v>0</v>
      </c>
      <c r="AB67" s="100"/>
      <c r="AC67" s="232">
        <v>0</v>
      </c>
      <c r="AD67" s="232">
        <f>S67+SUM(W67:AA67)</f>
        <v>0</v>
      </c>
      <c r="AE67" s="232">
        <f t="shared" ref="AE67" si="163">SUM(AC67:AD67)</f>
        <v>0</v>
      </c>
      <c r="AF67" s="230"/>
      <c r="AG67" s="236">
        <f>AE67*0.268</f>
        <v>0</v>
      </c>
      <c r="AH67" s="100"/>
      <c r="AI67" s="232">
        <f>AC67+AC67*0.268</f>
        <v>0</v>
      </c>
      <c r="AJ67" s="232">
        <f>AD67+AD67*0.268</f>
        <v>0</v>
      </c>
      <c r="AK67" s="230"/>
      <c r="AL67" s="232">
        <f>SUM(AI67:AJ67)</f>
        <v>0</v>
      </c>
      <c r="AM67" s="100"/>
      <c r="AN67" s="231">
        <f>AL67/H67</f>
        <v>0</v>
      </c>
      <c r="AO67" s="20"/>
    </row>
    <row r="68" spans="1:41" x14ac:dyDescent="0.25">
      <c r="A68" s="100"/>
      <c r="B68" s="100"/>
      <c r="C68" s="100"/>
      <c r="D68" s="100"/>
      <c r="E68" s="100"/>
      <c r="F68" s="100"/>
      <c r="G68" s="100"/>
      <c r="H68" s="100"/>
      <c r="I68" s="100"/>
      <c r="J68" s="100"/>
      <c r="K68" s="100"/>
      <c r="L68" s="100"/>
      <c r="M68" s="100"/>
      <c r="N68" s="100"/>
      <c r="O68" s="100"/>
      <c r="P68" s="100"/>
      <c r="Q68" s="100"/>
      <c r="R68" s="239"/>
      <c r="S68" s="239"/>
      <c r="T68" s="239"/>
      <c r="U68" s="239"/>
      <c r="V68" s="100"/>
      <c r="W68" s="100"/>
      <c r="X68" s="100"/>
      <c r="Y68" s="100"/>
      <c r="Z68" s="100"/>
      <c r="AA68" s="100"/>
      <c r="AB68" s="100"/>
      <c r="AC68" s="239"/>
      <c r="AD68" s="239"/>
      <c r="AE68" s="239"/>
      <c r="AF68" s="100"/>
      <c r="AG68" s="100"/>
      <c r="AH68" s="100"/>
      <c r="AI68" s="239"/>
      <c r="AJ68" s="239"/>
      <c r="AK68" s="100"/>
      <c r="AL68" s="239"/>
      <c r="AM68" s="100"/>
      <c r="AN68" s="100"/>
      <c r="AO68" s="20"/>
    </row>
    <row r="69" spans="1:41" x14ac:dyDescent="0.25">
      <c r="A69" s="100">
        <v>1</v>
      </c>
      <c r="B69" s="100" t="str">
        <f>MID('13_Soledade'!$B$5,16,6)</f>
        <v>A1S1R4</v>
      </c>
      <c r="C69" s="100" t="str">
        <f>RIGHT(B69,2)</f>
        <v>R4</v>
      </c>
      <c r="D69" s="100" t="str">
        <f>MID('13_Soledade'!$A$3,48,11)</f>
        <v>Barra Taipe</v>
      </c>
      <c r="E69" s="100" t="str">
        <f>MID('13_Soledade'!$A$3,31,8)</f>
        <v>Soledade</v>
      </c>
      <c r="F69" s="100"/>
      <c r="G69" s="100">
        <v>34</v>
      </c>
      <c r="H69" s="100"/>
      <c r="I69" s="100"/>
      <c r="J69" s="233">
        <f>'13_Soledade'!K5</f>
        <v>2062102.6972500002</v>
      </c>
      <c r="K69" s="234"/>
      <c r="L69" s="235">
        <v>0</v>
      </c>
      <c r="M69" s="235">
        <v>0</v>
      </c>
      <c r="N69" s="235">
        <v>0</v>
      </c>
      <c r="O69" s="235">
        <v>0</v>
      </c>
      <c r="P69" s="235">
        <v>0</v>
      </c>
      <c r="Q69" s="234"/>
      <c r="R69" s="232">
        <f>SUM(J69:J69)</f>
        <v>2062102.6972500002</v>
      </c>
      <c r="S69" s="232">
        <f>SUM(L69:P69)</f>
        <v>0</v>
      </c>
      <c r="T69" s="232"/>
      <c r="U69" s="232">
        <f t="shared" ref="U69" si="164">R69+S69</f>
        <v>2062102.6972500002</v>
      </c>
      <c r="V69" s="100"/>
      <c r="W69" s="236">
        <f t="shared" ref="W69" si="165">U69*0.05</f>
        <v>103105.13486250001</v>
      </c>
      <c r="X69" s="236">
        <f t="shared" ref="X69" si="166">U69*0.04</f>
        <v>82484.107890000014</v>
      </c>
      <c r="Y69" s="236">
        <f t="shared" ref="Y69" si="167">U69*0.01</f>
        <v>20621.026972500003</v>
      </c>
      <c r="Z69" s="236">
        <f t="shared" ref="Z69" si="168">U69*0.03</f>
        <v>61863.080917500003</v>
      </c>
      <c r="AA69" s="236">
        <f t="shared" ref="AA69" si="169">U69*0.005</f>
        <v>10310.513486250002</v>
      </c>
      <c r="AB69" s="100"/>
      <c r="AC69" s="240">
        <f t="shared" ref="AC69:AC71" si="170">R69+SUM(W69:AA69)</f>
        <v>2340486.56137875</v>
      </c>
      <c r="AD69" s="232">
        <v>0</v>
      </c>
      <c r="AE69" s="232">
        <f t="shared" ref="AE69:AE72" si="171">SUM(AC69:AD69)</f>
        <v>2340486.56137875</v>
      </c>
      <c r="AF69" s="230"/>
      <c r="AG69" s="236">
        <f t="shared" ref="AG69:AG71" si="172">AE69*0.268</f>
        <v>627250.3984495051</v>
      </c>
      <c r="AH69" s="100"/>
      <c r="AI69" s="232">
        <f>AC69+AC69*0.268</f>
        <v>2967736.9598282552</v>
      </c>
      <c r="AJ69" s="232">
        <f>AD69+AD69*0.268</f>
        <v>0</v>
      </c>
      <c r="AK69" s="230"/>
      <c r="AL69" s="232">
        <f>SUM(AI69:AJ69)</f>
        <v>2967736.9598282552</v>
      </c>
      <c r="AM69" s="100"/>
      <c r="AN69" s="231">
        <f>AL69/G69</f>
        <v>87286.381171419271</v>
      </c>
      <c r="AO69" s="20"/>
    </row>
    <row r="70" spans="1:41" x14ac:dyDescent="0.25">
      <c r="A70" s="100">
        <v>1</v>
      </c>
      <c r="B70" s="100" t="str">
        <f>MID('13_Soledade'!$B$43,16,6)</f>
        <v>A2S1R3</v>
      </c>
      <c r="C70" s="100" t="str">
        <f t="shared" ref="C70:C71" si="173">RIGHT(B70,2)</f>
        <v>R3</v>
      </c>
      <c r="D70" s="100" t="str">
        <f>MID('13_Soledade'!$A$3,48,11)</f>
        <v>Barra Taipe</v>
      </c>
      <c r="E70" s="100" t="str">
        <f>MID('13_Soledade'!$A$3,31,8)</f>
        <v>Soledade</v>
      </c>
      <c r="F70" s="100"/>
      <c r="G70" s="100">
        <v>42</v>
      </c>
      <c r="H70" s="100"/>
      <c r="I70" s="100"/>
      <c r="J70" s="233">
        <f>'13_Soledade'!K43</f>
        <v>314583.49603799998</v>
      </c>
      <c r="K70" s="234"/>
      <c r="L70" s="235">
        <v>0</v>
      </c>
      <c r="M70" s="235">
        <v>0</v>
      </c>
      <c r="N70" s="235">
        <v>0</v>
      </c>
      <c r="O70" s="235">
        <v>0</v>
      </c>
      <c r="P70" s="235">
        <v>0</v>
      </c>
      <c r="Q70" s="100"/>
      <c r="R70" s="232">
        <f t="shared" ref="R70:R72" si="174">SUM(J70:J70)</f>
        <v>314583.49603799998</v>
      </c>
      <c r="S70" s="232">
        <f t="shared" ref="S70:S72" si="175">SUM(L70:P70)</f>
        <v>0</v>
      </c>
      <c r="T70" s="232"/>
      <c r="U70" s="232">
        <f t="shared" ref="U70:U72" si="176">R70+S70</f>
        <v>314583.49603799998</v>
      </c>
      <c r="V70" s="100"/>
      <c r="W70" s="236">
        <f t="shared" ref="W70:W72" si="177">U70*0.05</f>
        <v>15729.174801900001</v>
      </c>
      <c r="X70" s="236">
        <f t="shared" ref="X70:X72" si="178">U70*0.04</f>
        <v>12583.339841519999</v>
      </c>
      <c r="Y70" s="236">
        <f t="shared" ref="Y70:Y72" si="179">U70*0.01</f>
        <v>3145.8349603799998</v>
      </c>
      <c r="Z70" s="236">
        <f t="shared" ref="Z70:Z72" si="180">U70*0.03</f>
        <v>9437.5048811399993</v>
      </c>
      <c r="AA70" s="236">
        <f t="shared" ref="AA70:AA72" si="181">U70*0.005</f>
        <v>1572.9174801899999</v>
      </c>
      <c r="AB70" s="100"/>
      <c r="AC70" s="240">
        <f t="shared" si="170"/>
        <v>357052.26800312998</v>
      </c>
      <c r="AD70" s="232">
        <v>0</v>
      </c>
      <c r="AE70" s="232">
        <f t="shared" si="171"/>
        <v>357052.26800312998</v>
      </c>
      <c r="AF70" s="230"/>
      <c r="AG70" s="236">
        <f t="shared" si="172"/>
        <v>95690.007824838845</v>
      </c>
      <c r="AH70" s="100"/>
      <c r="AI70" s="232">
        <f t="shared" ref="AI70:AI72" si="182">AC70+AC70*0.268</f>
        <v>452742.27582796884</v>
      </c>
      <c r="AJ70" s="232">
        <f t="shared" ref="AJ70:AJ72" si="183">AD70+AD70*0.268</f>
        <v>0</v>
      </c>
      <c r="AK70" s="230"/>
      <c r="AL70" s="232">
        <f t="shared" ref="AL70:AL72" si="184">SUM(AI70:AJ70)</f>
        <v>452742.27582796884</v>
      </c>
      <c r="AM70" s="100"/>
      <c r="AN70" s="231">
        <f>AL70/G70</f>
        <v>10779.577995904019</v>
      </c>
      <c r="AO70" s="20"/>
    </row>
    <row r="71" spans="1:41" x14ac:dyDescent="0.25">
      <c r="A71" s="100">
        <v>1</v>
      </c>
      <c r="B71" s="100" t="str">
        <f>MID('13_Soledade'!$B$81,16,6)</f>
        <v>A3S1R4</v>
      </c>
      <c r="C71" s="100" t="str">
        <f t="shared" si="173"/>
        <v>R4</v>
      </c>
      <c r="D71" s="100" t="str">
        <f>MID('13_Soledade'!$A$3,48,11)</f>
        <v>Barra Taipe</v>
      </c>
      <c r="E71" s="100" t="str">
        <f>MID('13_Soledade'!$A$3,31,8)</f>
        <v>Soledade</v>
      </c>
      <c r="F71" s="100"/>
      <c r="G71" s="100">
        <v>41</v>
      </c>
      <c r="H71" s="100"/>
      <c r="I71" s="100"/>
      <c r="J71" s="233">
        <f>'13_Soledade'!K81</f>
        <v>537603.64827999985</v>
      </c>
      <c r="K71" s="234"/>
      <c r="L71" s="235">
        <v>0</v>
      </c>
      <c r="M71" s="235">
        <v>0</v>
      </c>
      <c r="N71" s="235">
        <v>0</v>
      </c>
      <c r="O71" s="235">
        <v>0</v>
      </c>
      <c r="P71" s="235">
        <v>0</v>
      </c>
      <c r="Q71" s="100"/>
      <c r="R71" s="232">
        <f t="shared" si="174"/>
        <v>537603.64827999985</v>
      </c>
      <c r="S71" s="232">
        <f t="shared" si="175"/>
        <v>0</v>
      </c>
      <c r="T71" s="232"/>
      <c r="U71" s="232">
        <f t="shared" si="176"/>
        <v>537603.64827999985</v>
      </c>
      <c r="V71" s="100"/>
      <c r="W71" s="236">
        <f t="shared" si="177"/>
        <v>26880.182413999995</v>
      </c>
      <c r="X71" s="236">
        <f t="shared" si="178"/>
        <v>21504.145931199993</v>
      </c>
      <c r="Y71" s="236">
        <f t="shared" si="179"/>
        <v>5376.0364827999983</v>
      </c>
      <c r="Z71" s="236">
        <f t="shared" si="180"/>
        <v>16128.109448399995</v>
      </c>
      <c r="AA71" s="236">
        <f t="shared" si="181"/>
        <v>2688.0182413999992</v>
      </c>
      <c r="AB71" s="100"/>
      <c r="AC71" s="240">
        <f t="shared" si="170"/>
        <v>610180.1407977998</v>
      </c>
      <c r="AD71" s="232">
        <v>0</v>
      </c>
      <c r="AE71" s="232">
        <f t="shared" si="171"/>
        <v>610180.1407977998</v>
      </c>
      <c r="AF71" s="230"/>
      <c r="AG71" s="236">
        <f t="shared" si="172"/>
        <v>163528.27773381036</v>
      </c>
      <c r="AH71" s="100"/>
      <c r="AI71" s="232">
        <f t="shared" si="182"/>
        <v>773708.41853161016</v>
      </c>
      <c r="AJ71" s="232">
        <f t="shared" si="183"/>
        <v>0</v>
      </c>
      <c r="AK71" s="230"/>
      <c r="AL71" s="232">
        <f t="shared" si="184"/>
        <v>773708.41853161016</v>
      </c>
      <c r="AM71" s="100"/>
      <c r="AN71" s="231">
        <f>AL71/G71</f>
        <v>18870.937037356347</v>
      </c>
      <c r="AO71" s="20"/>
    </row>
    <row r="72" spans="1:41" x14ac:dyDescent="0.25">
      <c r="A72" s="100"/>
      <c r="B72" s="100"/>
      <c r="C72" s="100"/>
      <c r="D72" s="100"/>
      <c r="E72" s="100"/>
      <c r="F72" s="100"/>
      <c r="G72" s="100"/>
      <c r="H72" s="100">
        <f>SUM(G69:G71)</f>
        <v>117</v>
      </c>
      <c r="I72" s="100"/>
      <c r="J72" s="233">
        <v>0</v>
      </c>
      <c r="K72" s="234"/>
      <c r="L72" s="235">
        <f>'13_Soledade'!H116</f>
        <v>429849.51</v>
      </c>
      <c r="M72" s="235">
        <f>'13_Soledade'!H129</f>
        <v>932688.46</v>
      </c>
      <c r="N72" s="235">
        <f>'13_Soledade'!H137</f>
        <v>1326678.5299999998</v>
      </c>
      <c r="O72" s="235">
        <f>'13_Soledade'!H157</f>
        <v>84481.54</v>
      </c>
      <c r="P72" s="235">
        <f>'13_Soledade'!H160</f>
        <v>41212</v>
      </c>
      <c r="Q72" s="100"/>
      <c r="R72" s="232">
        <f t="shared" si="174"/>
        <v>0</v>
      </c>
      <c r="S72" s="232">
        <f t="shared" si="175"/>
        <v>2814910.04</v>
      </c>
      <c r="T72" s="232"/>
      <c r="U72" s="232">
        <f t="shared" si="176"/>
        <v>2814910.04</v>
      </c>
      <c r="V72" s="100"/>
      <c r="W72" s="236">
        <f t="shared" si="177"/>
        <v>140745.50200000001</v>
      </c>
      <c r="X72" s="236">
        <f t="shared" si="178"/>
        <v>112596.4016</v>
      </c>
      <c r="Y72" s="236">
        <f t="shared" si="179"/>
        <v>28149.100399999999</v>
      </c>
      <c r="Z72" s="236">
        <f t="shared" si="180"/>
        <v>84447.301200000002</v>
      </c>
      <c r="AA72" s="236">
        <f t="shared" si="181"/>
        <v>14074.5502</v>
      </c>
      <c r="AB72" s="100"/>
      <c r="AC72" s="232">
        <v>0</v>
      </c>
      <c r="AD72" s="232">
        <f>S72+SUM(W72:AA72)</f>
        <v>3194922.8953999998</v>
      </c>
      <c r="AE72" s="232">
        <f t="shared" si="171"/>
        <v>3194922.8953999998</v>
      </c>
      <c r="AF72" s="230"/>
      <c r="AG72" s="236">
        <f>AC72*0.268</f>
        <v>0</v>
      </c>
      <c r="AH72" s="100"/>
      <c r="AI72" s="232">
        <f t="shared" si="182"/>
        <v>0</v>
      </c>
      <c r="AJ72" s="232">
        <f t="shared" si="183"/>
        <v>4051162.2313671997</v>
      </c>
      <c r="AK72" s="230"/>
      <c r="AL72" s="232">
        <f t="shared" si="184"/>
        <v>4051162.2313671997</v>
      </c>
      <c r="AM72" s="100"/>
      <c r="AN72" s="231">
        <f>AL72/H72</f>
        <v>34625.31821681367</v>
      </c>
      <c r="AO72" s="20"/>
    </row>
    <row r="73" spans="1:41" x14ac:dyDescent="0.25">
      <c r="C73" s="20"/>
      <c r="E73" s="20"/>
      <c r="F73" s="20"/>
      <c r="G73" s="20"/>
      <c r="H73" s="20"/>
      <c r="I73" s="20"/>
      <c r="J73" s="20"/>
      <c r="K73" s="20"/>
      <c r="L73" s="20"/>
      <c r="M73" s="20"/>
      <c r="N73" s="20"/>
      <c r="O73" s="20"/>
      <c r="P73" s="20"/>
      <c r="Q73" s="20"/>
      <c r="R73" s="228"/>
      <c r="S73" s="228"/>
      <c r="T73" s="228"/>
      <c r="U73" s="228"/>
      <c r="V73" s="20"/>
      <c r="W73" s="20"/>
      <c r="X73" s="20"/>
      <c r="Y73" s="20"/>
      <c r="Z73" s="20"/>
      <c r="AA73" s="20"/>
      <c r="AB73" s="20"/>
      <c r="AC73" s="228"/>
      <c r="AD73" s="228"/>
      <c r="AE73" s="228"/>
      <c r="AF73" s="20"/>
      <c r="AG73" s="20"/>
      <c r="AH73" s="20"/>
      <c r="AI73" s="228"/>
      <c r="AJ73" s="228"/>
      <c r="AK73" s="20"/>
      <c r="AL73" s="228"/>
      <c r="AM73" s="20"/>
      <c r="AN73" s="20"/>
      <c r="AO73" s="20"/>
    </row>
    <row r="74" spans="1:41" s="227" customFormat="1" x14ac:dyDescent="0.25">
      <c r="A74" s="291" t="s">
        <v>768</v>
      </c>
      <c r="B74" s="291"/>
      <c r="C74" s="291"/>
      <c r="D74" s="291"/>
      <c r="E74" s="291"/>
      <c r="F74" s="229"/>
      <c r="G74" s="229">
        <f>SUM(G5:G73)</f>
        <v>1765</v>
      </c>
      <c r="H74" s="229">
        <f>SUM(H5:H73)</f>
        <v>1765</v>
      </c>
      <c r="I74" s="229"/>
      <c r="J74" s="230">
        <f>SUM(J5:J72)</f>
        <v>41687214.594605498</v>
      </c>
      <c r="K74" s="229"/>
      <c r="L74" s="231">
        <f>SUM(L5:L72)</f>
        <v>1779059.0486760002</v>
      </c>
      <c r="M74" s="231">
        <f t="shared" ref="M74:AM74" si="185">SUM(M5:M72)</f>
        <v>4147011.9635688998</v>
      </c>
      <c r="N74" s="231">
        <f t="shared" si="185"/>
        <v>16244546.619999999</v>
      </c>
      <c r="O74" s="231">
        <f t="shared" si="185"/>
        <v>951194.72</v>
      </c>
      <c r="P74" s="231">
        <f t="shared" si="185"/>
        <v>240462</v>
      </c>
      <c r="Q74" s="230">
        <f t="shared" si="185"/>
        <v>0</v>
      </c>
      <c r="R74" s="232">
        <f t="shared" si="185"/>
        <v>41687214.594605498</v>
      </c>
      <c r="S74" s="232">
        <f t="shared" si="185"/>
        <v>23362274.352244895</v>
      </c>
      <c r="T74" s="232">
        <f t="shared" si="185"/>
        <v>0</v>
      </c>
      <c r="U74" s="232">
        <f t="shared" si="185"/>
        <v>65049488.946850404</v>
      </c>
      <c r="V74" s="230">
        <f t="shared" si="185"/>
        <v>0</v>
      </c>
      <c r="W74" s="230"/>
      <c r="X74" s="230"/>
      <c r="Y74" s="230"/>
      <c r="Z74" s="230"/>
      <c r="AA74" s="230"/>
      <c r="AB74" s="230">
        <f t="shared" si="185"/>
        <v>0</v>
      </c>
      <c r="AC74" s="232">
        <f t="shared" si="185"/>
        <v>46454659.427477233</v>
      </c>
      <c r="AD74" s="232">
        <f t="shared" si="185"/>
        <v>26618511.287197959</v>
      </c>
      <c r="AE74" s="232">
        <f t="shared" si="185"/>
        <v>73073170.714675203</v>
      </c>
      <c r="AF74" s="230"/>
      <c r="AG74" s="230"/>
      <c r="AH74" s="230">
        <f t="shared" si="185"/>
        <v>8486691.5639999993</v>
      </c>
      <c r="AI74" s="232">
        <f t="shared" ref="AI74" si="186">SUM(AI5:AI72)</f>
        <v>58904508.154041156</v>
      </c>
      <c r="AJ74" s="232">
        <f t="shared" ref="AJ74" si="187">SUM(AJ5:AJ72)</f>
        <v>33752272.312167011</v>
      </c>
      <c r="AK74" s="230"/>
      <c r="AL74" s="232">
        <f t="shared" si="185"/>
        <v>92656780.46620819</v>
      </c>
      <c r="AM74" s="230">
        <f t="shared" si="185"/>
        <v>0</v>
      </c>
      <c r="AN74" s="230">
        <f>AL74/H74</f>
        <v>52496.759470939483</v>
      </c>
      <c r="AO74" s="226"/>
    </row>
    <row r="75" spans="1:41" x14ac:dyDescent="0.25">
      <c r="C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row>
    <row r="76" spans="1:41" x14ac:dyDescent="0.25">
      <c r="C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row>
    <row r="77" spans="1:41" x14ac:dyDescent="0.25">
      <c r="C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row>
    <row r="78" spans="1:41" x14ac:dyDescent="0.25">
      <c r="C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row>
    <row r="79" spans="1:41" x14ac:dyDescent="0.25">
      <c r="C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row>
    <row r="80" spans="1:41" x14ac:dyDescent="0.25">
      <c r="C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row>
    <row r="81" spans="3:41" x14ac:dyDescent="0.25">
      <c r="C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row>
    <row r="82" spans="3:41" x14ac:dyDescent="0.25">
      <c r="C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row>
    <row r="83" spans="3:41" x14ac:dyDescent="0.25">
      <c r="C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row>
    <row r="84" spans="3:41" x14ac:dyDescent="0.25">
      <c r="C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row>
    <row r="85" spans="3:41" x14ac:dyDescent="0.25">
      <c r="C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row>
    <row r="86" spans="3:41" x14ac:dyDescent="0.25">
      <c r="C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row>
    <row r="87" spans="3:41" x14ac:dyDescent="0.25">
      <c r="C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row>
    <row r="88" spans="3:41" x14ac:dyDescent="0.25">
      <c r="C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row>
    <row r="89" spans="3:41" x14ac:dyDescent="0.25">
      <c r="C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row>
    <row r="90" spans="3:41" x14ac:dyDescent="0.25">
      <c r="C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row>
    <row r="91" spans="3:41" x14ac:dyDescent="0.25">
      <c r="C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row>
    <row r="92" spans="3:41" x14ac:dyDescent="0.25">
      <c r="C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row>
    <row r="93" spans="3:41" x14ac:dyDescent="0.25">
      <c r="C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row>
    <row r="94" spans="3:41" x14ac:dyDescent="0.25">
      <c r="C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row>
    <row r="95" spans="3:41" x14ac:dyDescent="0.25">
      <c r="C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row>
    <row r="96" spans="3:41" x14ac:dyDescent="0.25">
      <c r="C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row>
    <row r="97" spans="3:41" x14ac:dyDescent="0.25">
      <c r="C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row>
    <row r="98" spans="3:41" x14ac:dyDescent="0.25">
      <c r="C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row>
    <row r="99" spans="3:41" x14ac:dyDescent="0.25">
      <c r="C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row>
    <row r="100" spans="3:41" x14ac:dyDescent="0.25">
      <c r="C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row>
    <row r="101" spans="3:41" x14ac:dyDescent="0.25">
      <c r="C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row>
    <row r="102" spans="3:41" x14ac:dyDescent="0.25">
      <c r="C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row>
    <row r="103" spans="3:41" x14ac:dyDescent="0.25">
      <c r="C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row>
    <row r="104" spans="3:41" x14ac:dyDescent="0.25">
      <c r="C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row>
    <row r="105" spans="3:41" x14ac:dyDescent="0.25">
      <c r="C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row>
    <row r="106" spans="3:41" x14ac:dyDescent="0.25">
      <c r="C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row>
    <row r="107" spans="3:41" x14ac:dyDescent="0.25">
      <c r="C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row>
    <row r="108" spans="3:41" x14ac:dyDescent="0.25">
      <c r="C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row>
    <row r="109" spans="3:41" x14ac:dyDescent="0.25">
      <c r="C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row>
    <row r="110" spans="3:41" x14ac:dyDescent="0.25">
      <c r="C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row>
    <row r="111" spans="3:41" x14ac:dyDescent="0.25">
      <c r="C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row>
    <row r="112" spans="3:41" x14ac:dyDescent="0.25">
      <c r="C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row>
    <row r="113" spans="3:41" x14ac:dyDescent="0.25">
      <c r="C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row>
    <row r="114" spans="3:41" x14ac:dyDescent="0.25">
      <c r="C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row>
    <row r="115" spans="3:41" x14ac:dyDescent="0.25">
      <c r="C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row>
    <row r="116" spans="3:41" x14ac:dyDescent="0.25">
      <c r="C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row>
    <row r="117" spans="3:41" x14ac:dyDescent="0.25">
      <c r="C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row>
    <row r="118" spans="3:41" x14ac:dyDescent="0.25">
      <c r="C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row>
    <row r="119" spans="3:41" x14ac:dyDescent="0.25">
      <c r="C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row>
    <row r="120" spans="3:41" x14ac:dyDescent="0.25">
      <c r="C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row>
    <row r="121" spans="3:41" x14ac:dyDescent="0.25">
      <c r="C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row>
  </sheetData>
  <mergeCells count="29">
    <mergeCell ref="A74:E74"/>
    <mergeCell ref="W3:W4"/>
    <mergeCell ref="X3:X4"/>
    <mergeCell ref="G3:G4"/>
    <mergeCell ref="H3:H4"/>
    <mergeCell ref="J3:J4"/>
    <mergeCell ref="A2:A4"/>
    <mergeCell ref="B2:B4"/>
    <mergeCell ref="C2:C4"/>
    <mergeCell ref="U3:U4"/>
    <mergeCell ref="S3:S4"/>
    <mergeCell ref="R3:R4"/>
    <mergeCell ref="D2:D4"/>
    <mergeCell ref="E2:E4"/>
    <mergeCell ref="L3:L4"/>
    <mergeCell ref="M3:M4"/>
    <mergeCell ref="A1:AN1"/>
    <mergeCell ref="G2:J2"/>
    <mergeCell ref="L2:P2"/>
    <mergeCell ref="W2:AA2"/>
    <mergeCell ref="AE2:AE3"/>
    <mergeCell ref="Y3:Y4"/>
    <mergeCell ref="Z3:Z4"/>
    <mergeCell ref="AG2:AG4"/>
    <mergeCell ref="AN2:AN4"/>
    <mergeCell ref="N3:N4"/>
    <mergeCell ref="O3:O4"/>
    <mergeCell ref="P3:P4"/>
    <mergeCell ref="AA3:AA4"/>
  </mergeCells>
  <conditionalFormatting sqref="A1">
    <cfRule type="cellIs" dxfId="43" priority="46" operator="equal">
      <formula>"amarelo"</formula>
    </cfRule>
    <cfRule type="cellIs" dxfId="42" priority="47" operator="equal">
      <formula>"verde"</formula>
    </cfRule>
  </conditionalFormatting>
  <conditionalFormatting sqref="C2">
    <cfRule type="containsText" dxfId="41" priority="45" operator="containsText" text="R4">
      <formula>NOT(ISERROR(SEARCH(("R4"),(C2))))</formula>
    </cfRule>
    <cfRule type="containsText" dxfId="40" priority="44" operator="containsText" text="R3">
      <formula>NOT(ISERROR(SEARCH(("R3"),(C2))))</formula>
    </cfRule>
    <cfRule type="containsText" dxfId="39" priority="43" operator="containsText" text="R2">
      <formula>NOT(ISERROR(SEARCH(("R2"),(C2))))</formula>
    </cfRule>
  </conditionalFormatting>
  <conditionalFormatting sqref="C5:C9">
    <cfRule type="cellIs" dxfId="38" priority="42" operator="equal">
      <formula>"R3"</formula>
    </cfRule>
    <cfRule type="cellIs" dxfId="37" priority="41" operator="equal">
      <formula>"R4"</formula>
    </cfRule>
    <cfRule type="cellIs" dxfId="36" priority="40" operator="equal">
      <formula>"R2"</formula>
    </cfRule>
  </conditionalFormatting>
  <conditionalFormatting sqref="C12:C16">
    <cfRule type="cellIs" dxfId="35" priority="37" operator="equal">
      <formula>"R2"</formula>
    </cfRule>
    <cfRule type="cellIs" dxfId="34" priority="39" operator="equal">
      <formula>"R3"</formula>
    </cfRule>
    <cfRule type="cellIs" dxfId="33" priority="38" operator="equal">
      <formula>"R4"</formula>
    </cfRule>
  </conditionalFormatting>
  <conditionalFormatting sqref="C18:C20">
    <cfRule type="cellIs" dxfId="32" priority="36" operator="equal">
      <formula>"R3"</formula>
    </cfRule>
    <cfRule type="cellIs" dxfId="31" priority="35" operator="equal">
      <formula>"R4"</formula>
    </cfRule>
    <cfRule type="cellIs" dxfId="30" priority="34" operator="equal">
      <formula>"R2"</formula>
    </cfRule>
  </conditionalFormatting>
  <conditionalFormatting sqref="C23:C24">
    <cfRule type="cellIs" dxfId="29" priority="33" operator="equal">
      <formula>"R3"</formula>
    </cfRule>
    <cfRule type="cellIs" dxfId="28" priority="32" operator="equal">
      <formula>"R4"</formula>
    </cfRule>
    <cfRule type="cellIs" dxfId="27" priority="31" operator="equal">
      <formula>"R2"</formula>
    </cfRule>
  </conditionalFormatting>
  <conditionalFormatting sqref="C27">
    <cfRule type="cellIs" dxfId="26" priority="28" operator="equal">
      <formula>"R2"</formula>
    </cfRule>
    <cfRule type="cellIs" dxfId="25" priority="30" operator="equal">
      <formula>"R3"</formula>
    </cfRule>
    <cfRule type="cellIs" dxfId="24" priority="29" operator="equal">
      <formula>"R4"</formula>
    </cfRule>
  </conditionalFormatting>
  <conditionalFormatting sqref="C30">
    <cfRule type="cellIs" dxfId="23" priority="27" operator="equal">
      <formula>"R3"</formula>
    </cfRule>
    <cfRule type="cellIs" dxfId="22" priority="25" operator="equal">
      <formula>"R2"</formula>
    </cfRule>
    <cfRule type="cellIs" dxfId="21" priority="26" operator="equal">
      <formula>"R4"</formula>
    </cfRule>
  </conditionalFormatting>
  <conditionalFormatting sqref="C33:C35">
    <cfRule type="cellIs" dxfId="20" priority="24" operator="equal">
      <formula>"R3"</formula>
    </cfRule>
    <cfRule type="cellIs" dxfId="19" priority="23" operator="equal">
      <formula>"R4"</formula>
    </cfRule>
    <cfRule type="cellIs" dxfId="18" priority="22" operator="equal">
      <formula>"R2"</formula>
    </cfRule>
  </conditionalFormatting>
  <conditionalFormatting sqref="C38:C41">
    <cfRule type="cellIs" dxfId="17" priority="21" operator="equal">
      <formula>"R3"</formula>
    </cfRule>
    <cfRule type="cellIs" dxfId="16" priority="20" operator="equal">
      <formula>"R4"</formula>
    </cfRule>
    <cfRule type="cellIs" dxfId="15" priority="19" operator="equal">
      <formula>"R2"</formula>
    </cfRule>
  </conditionalFormatting>
  <conditionalFormatting sqref="C44:C46">
    <cfRule type="cellIs" dxfId="14" priority="18" operator="equal">
      <formula>"R3"</formula>
    </cfRule>
    <cfRule type="cellIs" dxfId="13" priority="17" operator="equal">
      <formula>"R4"</formula>
    </cfRule>
    <cfRule type="cellIs" dxfId="12" priority="16" operator="equal">
      <formula>"R2"</formula>
    </cfRule>
  </conditionalFormatting>
  <conditionalFormatting sqref="C49:C54">
    <cfRule type="cellIs" dxfId="11" priority="14" operator="equal">
      <formula>"R4"</formula>
    </cfRule>
    <cfRule type="cellIs" dxfId="10" priority="15" operator="equal">
      <formula>"R3"</formula>
    </cfRule>
    <cfRule type="cellIs" dxfId="9" priority="13" operator="equal">
      <formula>"R2"</formula>
    </cfRule>
  </conditionalFormatting>
  <conditionalFormatting sqref="C56:C63">
    <cfRule type="cellIs" dxfId="8" priority="12" operator="equal">
      <formula>"R3"</formula>
    </cfRule>
    <cfRule type="cellIs" dxfId="7" priority="11" operator="equal">
      <formula>"R4"</formula>
    </cfRule>
    <cfRule type="cellIs" dxfId="6" priority="10" operator="equal">
      <formula>"R2"</formula>
    </cfRule>
  </conditionalFormatting>
  <conditionalFormatting sqref="C66">
    <cfRule type="cellIs" dxfId="5" priority="9" operator="equal">
      <formula>"R3"</formula>
    </cfRule>
    <cfRule type="cellIs" dxfId="4" priority="8" operator="equal">
      <formula>"R4"</formula>
    </cfRule>
    <cfRule type="cellIs" dxfId="3" priority="7" operator="equal">
      <formula>"R2"</formula>
    </cfRule>
  </conditionalFormatting>
  <conditionalFormatting sqref="C69:C71">
    <cfRule type="cellIs" dxfId="2" priority="4" operator="equal">
      <formula>"R2"</formula>
    </cfRule>
    <cfRule type="cellIs" dxfId="1" priority="6" operator="equal">
      <formula>"R3"</formula>
    </cfRule>
    <cfRule type="cellIs" dxfId="0" priority="5" operator="equal">
      <formula>"R4"</formula>
    </cfRule>
  </conditionalFormatting>
  <pageMargins left="0.7" right="0.7" top="0.75" bottom="0.75" header="0.3" footer="0.3"/>
  <ignoredErrors>
    <ignoredError sqref="AN10" formula="1"/>
    <ignoredError sqref="S12:S16"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42F0-ED7E-44EE-8B5A-2DEBC6E2F48A}">
  <sheetPr>
    <pageSetUpPr fitToPage="1"/>
  </sheetPr>
  <dimension ref="A1:N179"/>
  <sheetViews>
    <sheetView tabSelected="1" workbookViewId="0">
      <pane ySplit="4" topLeftCell="A83" activePane="bottomLeft" state="frozen"/>
      <selection pane="bottomLeft" activeCell="J88" sqref="J88"/>
    </sheetView>
  </sheetViews>
  <sheetFormatPr defaultRowHeight="15" x14ac:dyDescent="0.25"/>
  <cols>
    <col min="1" max="1" width="15.28515625" bestFit="1" customWidth="1"/>
    <col min="2" max="2" width="13.85546875" bestFit="1" customWidth="1"/>
    <col min="3" max="3" width="17.85546875" customWidth="1"/>
    <col min="4" max="4" width="120.85546875" customWidth="1"/>
    <col min="6" max="6" width="10.42578125" bestFit="1" customWidth="1"/>
    <col min="7" max="7" width="16.42578125" customWidth="1"/>
    <col min="8" max="8" width="0.85546875" customWidth="1"/>
    <col min="9" max="9" width="15.5703125" style="139" bestFit="1" customWidth="1"/>
    <col min="10" max="10" width="14.140625" style="139" bestFit="1" customWidth="1"/>
    <col min="11" max="11" width="14.140625" style="256" customWidth="1"/>
    <col min="12" max="12" width="1.28515625" style="15" customWidth="1"/>
    <col min="13" max="13" width="15.5703125" style="139" bestFit="1" customWidth="1"/>
    <col min="14" max="14" width="10.5703125" style="140" customWidth="1"/>
  </cols>
  <sheetData>
    <row r="1" spans="1:14" x14ac:dyDescent="0.25">
      <c r="C1" s="1" t="s">
        <v>4</v>
      </c>
      <c r="D1" s="2"/>
      <c r="E1" s="3"/>
      <c r="F1" s="4"/>
      <c r="G1" s="5"/>
      <c r="I1" s="128"/>
      <c r="J1" s="128"/>
      <c r="K1" s="247"/>
      <c r="L1" s="14"/>
      <c r="M1" s="128"/>
      <c r="N1" s="129"/>
    </row>
    <row r="2" spans="1:14" x14ac:dyDescent="0.25">
      <c r="C2" s="6"/>
      <c r="D2" s="2"/>
      <c r="E2" s="3"/>
      <c r="F2" s="4"/>
      <c r="G2" s="5"/>
      <c r="I2" s="128"/>
      <c r="J2" s="128"/>
      <c r="K2" s="247"/>
      <c r="L2" s="14"/>
      <c r="M2" s="128"/>
      <c r="N2" s="129"/>
    </row>
    <row r="3" spans="1:14" x14ac:dyDescent="0.25">
      <c r="C3" s="1" t="s">
        <v>5</v>
      </c>
      <c r="D3" s="2"/>
      <c r="E3" s="3"/>
      <c r="F3" s="4"/>
      <c r="G3" s="5"/>
      <c r="I3" s="278" t="s">
        <v>11</v>
      </c>
      <c r="J3" s="278"/>
      <c r="K3" s="278"/>
      <c r="L3" s="278"/>
      <c r="M3" s="278"/>
      <c r="N3" s="278"/>
    </row>
    <row r="4" spans="1:14" s="7" customFormat="1" ht="15.75" thickBot="1" x14ac:dyDescent="0.3">
      <c r="A4" s="46" t="s">
        <v>778</v>
      </c>
      <c r="B4" s="46" t="s">
        <v>786</v>
      </c>
      <c r="C4" s="46" t="s">
        <v>6</v>
      </c>
      <c r="D4" s="47" t="s">
        <v>7</v>
      </c>
      <c r="E4" s="46" t="s">
        <v>8</v>
      </c>
      <c r="F4" s="48" t="s">
        <v>9</v>
      </c>
      <c r="G4" s="49" t="s">
        <v>10</v>
      </c>
      <c r="I4" s="276" t="s">
        <v>273</v>
      </c>
      <c r="J4" s="276"/>
      <c r="K4" s="49" t="s">
        <v>275</v>
      </c>
      <c r="L4" s="49"/>
      <c r="M4" s="104" t="s">
        <v>274</v>
      </c>
      <c r="N4" s="104" t="s">
        <v>12</v>
      </c>
    </row>
    <row r="5" spans="1:14" s="7" customFormat="1" x14ac:dyDescent="0.25">
      <c r="A5" s="7" t="s">
        <v>779</v>
      </c>
      <c r="B5" s="257"/>
      <c r="C5" s="25">
        <v>1</v>
      </c>
      <c r="D5" s="26" t="s">
        <v>13</v>
      </c>
      <c r="E5" s="27"/>
      <c r="F5" s="211"/>
      <c r="G5" s="29"/>
      <c r="H5" s="30"/>
      <c r="I5" s="105"/>
      <c r="J5" s="130"/>
      <c r="K5" s="248"/>
      <c r="L5" s="30"/>
      <c r="M5" s="105">
        <f>SUM(J6:J34)</f>
        <v>386572.95</v>
      </c>
      <c r="N5" s="131">
        <f>M5/$I$177</f>
        <v>0.20285394648824359</v>
      </c>
    </row>
    <row r="6" spans="1:14" s="7" customFormat="1" x14ac:dyDescent="0.25">
      <c r="A6" s="7" t="s">
        <v>779</v>
      </c>
      <c r="B6" s="257"/>
      <c r="C6" s="32" t="s">
        <v>14</v>
      </c>
      <c r="D6" s="8" t="s">
        <v>15</v>
      </c>
      <c r="E6" s="9"/>
      <c r="F6" s="209"/>
      <c r="G6" s="13"/>
      <c r="I6" s="132"/>
      <c r="J6" s="109">
        <f>I7</f>
        <v>9766.77</v>
      </c>
      <c r="K6" s="149">
        <f>J6/$M$5</f>
        <v>2.5265011429278745E-2</v>
      </c>
      <c r="L6" s="16"/>
      <c r="M6" s="109"/>
      <c r="N6" s="133"/>
    </row>
    <row r="7" spans="1:14" s="7" customFormat="1" x14ac:dyDescent="0.25">
      <c r="A7" s="7" t="s">
        <v>779</v>
      </c>
      <c r="B7" s="257"/>
      <c r="C7" s="32" t="s">
        <v>16</v>
      </c>
      <c r="D7" s="8" t="s">
        <v>17</v>
      </c>
      <c r="E7" s="9"/>
      <c r="F7" s="209"/>
      <c r="G7" s="13"/>
      <c r="I7" s="109">
        <f>SUM(I8:I11)</f>
        <v>9766.77</v>
      </c>
      <c r="J7" s="109"/>
      <c r="K7" s="146">
        <f>I7/$M$5</f>
        <v>2.5265011429278745E-2</v>
      </c>
      <c r="L7" s="16"/>
      <c r="M7" s="109"/>
      <c r="N7" s="133"/>
    </row>
    <row r="8" spans="1:14" s="7" customFormat="1" x14ac:dyDescent="0.25">
      <c r="A8" s="7" t="s">
        <v>779</v>
      </c>
      <c r="B8" s="7" t="s">
        <v>791</v>
      </c>
      <c r="C8" s="33" t="s">
        <v>18</v>
      </c>
      <c r="D8" s="10" t="s">
        <v>19</v>
      </c>
      <c r="E8" s="9" t="s">
        <v>20</v>
      </c>
      <c r="F8" s="209">
        <v>356</v>
      </c>
      <c r="G8" s="13">
        <v>4.38</v>
      </c>
      <c r="I8" s="95">
        <v>1559.28</v>
      </c>
      <c r="J8" s="95"/>
      <c r="K8" s="146">
        <f>I8/$M$5</f>
        <v>4.0335983156607313E-3</v>
      </c>
      <c r="L8" s="17"/>
      <c r="M8" s="95"/>
      <c r="N8" s="134"/>
    </row>
    <row r="9" spans="1:14" s="7" customFormat="1" x14ac:dyDescent="0.25">
      <c r="A9" s="7" t="s">
        <v>779</v>
      </c>
      <c r="B9" s="7" t="s">
        <v>792</v>
      </c>
      <c r="C9" s="33" t="s">
        <v>21</v>
      </c>
      <c r="D9" s="10" t="s">
        <v>22</v>
      </c>
      <c r="E9" s="9" t="s">
        <v>23</v>
      </c>
      <c r="F9" s="209">
        <v>8.9</v>
      </c>
      <c r="G9" s="13">
        <v>217.25</v>
      </c>
      <c r="I9" s="95">
        <v>1933.53</v>
      </c>
      <c r="J9" s="95"/>
      <c r="K9" s="146">
        <f t="shared" ref="K9:K11" si="0">I9/$M$5</f>
        <v>5.0017208912315255E-3</v>
      </c>
      <c r="L9" s="17"/>
      <c r="M9" s="95"/>
      <c r="N9" s="134"/>
    </row>
    <row r="10" spans="1:14" s="7" customFormat="1" x14ac:dyDescent="0.25">
      <c r="A10" s="7" t="s">
        <v>779</v>
      </c>
      <c r="B10" s="7" t="s">
        <v>793</v>
      </c>
      <c r="C10" s="33" t="s">
        <v>24</v>
      </c>
      <c r="D10" s="10" t="s">
        <v>25</v>
      </c>
      <c r="E10" s="9" t="s">
        <v>26</v>
      </c>
      <c r="F10" s="209">
        <v>106.8</v>
      </c>
      <c r="G10" s="13">
        <v>17.54</v>
      </c>
      <c r="I10" s="95">
        <v>1873.27</v>
      </c>
      <c r="J10" s="95"/>
      <c r="K10" s="146">
        <f t="shared" si="0"/>
        <v>4.8458382822698792E-3</v>
      </c>
      <c r="L10" s="17"/>
      <c r="M10" s="95"/>
      <c r="N10" s="134"/>
    </row>
    <row r="11" spans="1:14" s="7" customFormat="1" x14ac:dyDescent="0.25">
      <c r="A11" s="7" t="s">
        <v>779</v>
      </c>
      <c r="B11" s="257" t="s">
        <v>794</v>
      </c>
      <c r="C11" s="33" t="s">
        <v>27</v>
      </c>
      <c r="D11" s="10" t="s">
        <v>28</v>
      </c>
      <c r="E11" s="9" t="s">
        <v>29</v>
      </c>
      <c r="F11" s="209">
        <v>2146.6799999999998</v>
      </c>
      <c r="G11" s="13">
        <v>2.0499999999999998</v>
      </c>
      <c r="I11" s="95">
        <v>4400.6899999999996</v>
      </c>
      <c r="J11" s="95"/>
      <c r="K11" s="146">
        <f t="shared" si="0"/>
        <v>1.1383853940116605E-2</v>
      </c>
      <c r="L11" s="17"/>
      <c r="M11" s="95"/>
      <c r="N11" s="134"/>
    </row>
    <row r="12" spans="1:14" s="7" customFormat="1" x14ac:dyDescent="0.25">
      <c r="A12" s="7" t="s">
        <v>779</v>
      </c>
      <c r="B12" s="257"/>
      <c r="C12" s="32" t="s">
        <v>30</v>
      </c>
      <c r="D12" s="8" t="s">
        <v>31</v>
      </c>
      <c r="E12" s="9"/>
      <c r="F12" s="209"/>
      <c r="G12" s="13"/>
      <c r="I12" s="132"/>
      <c r="J12" s="109">
        <f>I13+I15</f>
        <v>360679.14</v>
      </c>
      <c r="K12" s="149">
        <f>J12/$M$5</f>
        <v>0.93301701528780012</v>
      </c>
      <c r="L12" s="16"/>
      <c r="M12" s="109"/>
      <c r="N12" s="133"/>
    </row>
    <row r="13" spans="1:14" s="7" customFormat="1" x14ac:dyDescent="0.25">
      <c r="A13" s="7" t="s">
        <v>779</v>
      </c>
      <c r="B13" s="257"/>
      <c r="C13" s="32" t="s">
        <v>32</v>
      </c>
      <c r="D13" s="8" t="s">
        <v>33</v>
      </c>
      <c r="E13" s="9"/>
      <c r="F13" s="209"/>
      <c r="G13" s="13"/>
      <c r="I13" s="109">
        <f>I14</f>
        <v>221132.96</v>
      </c>
      <c r="J13" s="109"/>
      <c r="K13" s="146">
        <f>I13/$M$5</f>
        <v>0.57203423053785829</v>
      </c>
      <c r="L13" s="16"/>
      <c r="M13" s="109"/>
      <c r="N13" s="133"/>
    </row>
    <row r="14" spans="1:14" s="7" customFormat="1" ht="25.5" x14ac:dyDescent="0.25">
      <c r="A14" s="7" t="s">
        <v>779</v>
      </c>
      <c r="B14" s="7" t="s">
        <v>795</v>
      </c>
      <c r="C14" s="33" t="s">
        <v>34</v>
      </c>
      <c r="D14" s="10" t="s">
        <v>35</v>
      </c>
      <c r="E14" s="9" t="s">
        <v>20</v>
      </c>
      <c r="F14" s="209">
        <v>293</v>
      </c>
      <c r="G14" s="13">
        <v>754.72</v>
      </c>
      <c r="I14" s="95">
        <v>221132.96</v>
      </c>
      <c r="J14" s="95"/>
      <c r="K14" s="146">
        <f t="shared" ref="K14:K34" si="1">I14/$M$5</f>
        <v>0.57203423053785829</v>
      </c>
      <c r="L14" s="17"/>
      <c r="M14" s="95"/>
      <c r="N14" s="134"/>
    </row>
    <row r="15" spans="1:14" s="7" customFormat="1" x14ac:dyDescent="0.25">
      <c r="A15" s="7" t="s">
        <v>779</v>
      </c>
      <c r="B15" s="257"/>
      <c r="C15" s="32" t="s">
        <v>36</v>
      </c>
      <c r="D15" s="8" t="s">
        <v>37</v>
      </c>
      <c r="E15" s="9"/>
      <c r="F15" s="209"/>
      <c r="G15" s="13"/>
      <c r="I15" s="109">
        <f>SUM(I16:I29)</f>
        <v>139546.18000000002</v>
      </c>
      <c r="J15" s="109"/>
      <c r="K15" s="146">
        <f t="shared" si="1"/>
        <v>0.36098278474994183</v>
      </c>
      <c r="L15" s="16"/>
      <c r="M15" s="109"/>
      <c r="N15" s="133"/>
    </row>
    <row r="16" spans="1:14" s="7" customFormat="1" x14ac:dyDescent="0.25">
      <c r="A16" s="7" t="s">
        <v>779</v>
      </c>
      <c r="B16" s="7" t="s">
        <v>796</v>
      </c>
      <c r="C16" s="33" t="s">
        <v>38</v>
      </c>
      <c r="D16" s="10" t="s">
        <v>39</v>
      </c>
      <c r="E16" s="9" t="s">
        <v>26</v>
      </c>
      <c r="F16" s="209">
        <v>25.2</v>
      </c>
      <c r="G16" s="13">
        <v>641.26</v>
      </c>
      <c r="I16" s="95">
        <v>16159.75</v>
      </c>
      <c r="J16" s="95"/>
      <c r="K16" s="146">
        <f t="shared" si="1"/>
        <v>4.1802588618784629E-2</v>
      </c>
      <c r="L16" s="17"/>
      <c r="M16" s="95"/>
      <c r="N16" s="134"/>
    </row>
    <row r="17" spans="1:14" s="7" customFormat="1" x14ac:dyDescent="0.25">
      <c r="A17" s="7" t="s">
        <v>779</v>
      </c>
      <c r="B17" s="7" t="s">
        <v>797</v>
      </c>
      <c r="C17" s="33" t="s">
        <v>40</v>
      </c>
      <c r="D17" s="10" t="s">
        <v>41</v>
      </c>
      <c r="E17" s="9" t="s">
        <v>42</v>
      </c>
      <c r="F17" s="209">
        <v>630</v>
      </c>
      <c r="G17" s="13">
        <v>8.64</v>
      </c>
      <c r="I17" s="95">
        <v>5443.2</v>
      </c>
      <c r="J17" s="95"/>
      <c r="K17" s="146">
        <f t="shared" si="1"/>
        <v>1.4080654117159516E-2</v>
      </c>
      <c r="L17" s="17"/>
      <c r="M17" s="95"/>
      <c r="N17" s="134"/>
    </row>
    <row r="18" spans="1:14" s="7" customFormat="1" x14ac:dyDescent="0.25">
      <c r="A18" s="7" t="s">
        <v>779</v>
      </c>
      <c r="B18" s="7" t="s">
        <v>798</v>
      </c>
      <c r="C18" s="33" t="s">
        <v>43</v>
      </c>
      <c r="D18" s="10" t="s">
        <v>44</v>
      </c>
      <c r="E18" s="9" t="s">
        <v>42</v>
      </c>
      <c r="F18" s="209">
        <v>1134</v>
      </c>
      <c r="G18" s="13">
        <v>9.66</v>
      </c>
      <c r="I18" s="95">
        <v>10954.44</v>
      </c>
      <c r="J18" s="95"/>
      <c r="K18" s="146">
        <f t="shared" si="1"/>
        <v>2.8337316410783527E-2</v>
      </c>
      <c r="L18" s="17"/>
      <c r="M18" s="95"/>
      <c r="N18" s="134"/>
    </row>
    <row r="19" spans="1:14" s="7" customFormat="1" x14ac:dyDescent="0.25">
      <c r="A19" s="7" t="s">
        <v>779</v>
      </c>
      <c r="B19" s="7" t="s">
        <v>799</v>
      </c>
      <c r="C19" s="33" t="s">
        <v>45</v>
      </c>
      <c r="D19" s="10" t="s">
        <v>46</v>
      </c>
      <c r="E19" s="9" t="s">
        <v>42</v>
      </c>
      <c r="F19" s="209">
        <v>1134</v>
      </c>
      <c r="G19" s="13">
        <v>8.84</v>
      </c>
      <c r="I19" s="95">
        <v>10024.56</v>
      </c>
      <c r="J19" s="95"/>
      <c r="K19" s="146">
        <f t="shared" si="1"/>
        <v>2.5931871332435442E-2</v>
      </c>
      <c r="L19" s="17"/>
      <c r="M19" s="95"/>
      <c r="N19" s="134"/>
    </row>
    <row r="20" spans="1:14" s="7" customFormat="1" x14ac:dyDescent="0.25">
      <c r="A20" s="7" t="s">
        <v>779</v>
      </c>
      <c r="B20" s="7" t="s">
        <v>800</v>
      </c>
      <c r="C20" s="33" t="s">
        <v>47</v>
      </c>
      <c r="D20" s="10" t="s">
        <v>48</v>
      </c>
      <c r="E20" s="9" t="s">
        <v>26</v>
      </c>
      <c r="F20" s="209">
        <v>50.4</v>
      </c>
      <c r="G20" s="13">
        <v>25.13</v>
      </c>
      <c r="I20" s="95">
        <v>1266.55</v>
      </c>
      <c r="J20" s="95"/>
      <c r="K20" s="146">
        <f t="shared" si="1"/>
        <v>3.2763544371120635E-3</v>
      </c>
      <c r="L20" s="17"/>
      <c r="M20" s="95"/>
      <c r="N20" s="134"/>
    </row>
    <row r="21" spans="1:14" s="7" customFormat="1" x14ac:dyDescent="0.25">
      <c r="A21" s="7" t="s">
        <v>779</v>
      </c>
      <c r="B21" s="7" t="s">
        <v>801</v>
      </c>
      <c r="C21" s="33" t="s">
        <v>49</v>
      </c>
      <c r="D21" s="10" t="s">
        <v>50</v>
      </c>
      <c r="E21" s="9" t="s">
        <v>26</v>
      </c>
      <c r="F21" s="209">
        <v>1.26</v>
      </c>
      <c r="G21" s="13">
        <v>900.01</v>
      </c>
      <c r="I21" s="95">
        <v>1134.01</v>
      </c>
      <c r="J21" s="95"/>
      <c r="K21" s="146">
        <f t="shared" si="1"/>
        <v>2.9334954760802585E-3</v>
      </c>
      <c r="L21" s="17"/>
      <c r="M21" s="95"/>
      <c r="N21" s="134"/>
    </row>
    <row r="22" spans="1:14" s="7" customFormat="1" x14ac:dyDescent="0.25">
      <c r="A22" s="7" t="s">
        <v>779</v>
      </c>
      <c r="B22" s="7" t="s">
        <v>802</v>
      </c>
      <c r="C22" s="33" t="s">
        <v>51</v>
      </c>
      <c r="D22" s="10" t="s">
        <v>52</v>
      </c>
      <c r="E22" s="9" t="s">
        <v>26</v>
      </c>
      <c r="F22" s="209">
        <v>1.26</v>
      </c>
      <c r="G22" s="13">
        <v>1002.12</v>
      </c>
      <c r="I22" s="95">
        <v>1262.67</v>
      </c>
      <c r="J22" s="95"/>
      <c r="K22" s="146">
        <f t="shared" si="1"/>
        <v>3.2663175216993325E-3</v>
      </c>
      <c r="L22" s="17"/>
      <c r="M22" s="95"/>
      <c r="N22" s="134"/>
    </row>
    <row r="23" spans="1:14" s="7" customFormat="1" x14ac:dyDescent="0.25">
      <c r="A23" s="7" t="s">
        <v>779</v>
      </c>
      <c r="B23" s="7" t="s">
        <v>803</v>
      </c>
      <c r="C23" s="33" t="s">
        <v>53</v>
      </c>
      <c r="D23" s="10" t="s">
        <v>54</v>
      </c>
      <c r="E23" s="9" t="s">
        <v>26</v>
      </c>
      <c r="F23" s="209">
        <v>31.5</v>
      </c>
      <c r="G23" s="13">
        <v>1037.21</v>
      </c>
      <c r="I23" s="95">
        <v>32672.12</v>
      </c>
      <c r="J23" s="95"/>
      <c r="K23" s="146">
        <f t="shared" si="1"/>
        <v>8.4517346596547943E-2</v>
      </c>
      <c r="L23" s="17"/>
      <c r="M23" s="95"/>
      <c r="N23" s="134"/>
    </row>
    <row r="24" spans="1:14" s="7" customFormat="1" x14ac:dyDescent="0.25">
      <c r="A24" s="7" t="s">
        <v>779</v>
      </c>
      <c r="B24" s="7" t="s">
        <v>804</v>
      </c>
      <c r="C24" s="33" t="s">
        <v>55</v>
      </c>
      <c r="D24" s="10" t="s">
        <v>56</v>
      </c>
      <c r="E24" s="9" t="s">
        <v>57</v>
      </c>
      <c r="F24" s="209">
        <v>31.5</v>
      </c>
      <c r="G24" s="13">
        <v>45.3</v>
      </c>
      <c r="I24" s="95">
        <v>1426.95</v>
      </c>
      <c r="J24" s="95"/>
      <c r="K24" s="146">
        <f t="shared" si="1"/>
        <v>3.6912825897414707E-3</v>
      </c>
      <c r="L24" s="17"/>
      <c r="M24" s="95"/>
      <c r="N24" s="134"/>
    </row>
    <row r="25" spans="1:14" s="7" customFormat="1" x14ac:dyDescent="0.25">
      <c r="A25" s="7" t="s">
        <v>779</v>
      </c>
      <c r="B25" s="7" t="s">
        <v>805</v>
      </c>
      <c r="C25" s="33" t="s">
        <v>58</v>
      </c>
      <c r="D25" s="10" t="s">
        <v>59</v>
      </c>
      <c r="E25" s="9" t="s">
        <v>20</v>
      </c>
      <c r="F25" s="209">
        <v>63</v>
      </c>
      <c r="G25" s="13">
        <v>106.17</v>
      </c>
      <c r="I25" s="95">
        <v>6688.71</v>
      </c>
      <c r="J25" s="95"/>
      <c r="K25" s="146">
        <f t="shared" si="1"/>
        <v>1.7302581569662336E-2</v>
      </c>
      <c r="L25" s="17"/>
      <c r="M25" s="95"/>
      <c r="N25" s="134"/>
    </row>
    <row r="26" spans="1:14" s="7" customFormat="1" ht="25.5" x14ac:dyDescent="0.25">
      <c r="A26" s="7" t="s">
        <v>779</v>
      </c>
      <c r="B26" s="7" t="s">
        <v>806</v>
      </c>
      <c r="C26" s="33" t="s">
        <v>60</v>
      </c>
      <c r="D26" s="10" t="s">
        <v>61</v>
      </c>
      <c r="E26" s="9" t="s">
        <v>26</v>
      </c>
      <c r="F26" s="209">
        <v>50.4</v>
      </c>
      <c r="G26" s="13">
        <v>56.85</v>
      </c>
      <c r="I26" s="95">
        <v>2865.24</v>
      </c>
      <c r="J26" s="95"/>
      <c r="K26" s="146">
        <f t="shared" si="1"/>
        <v>7.4118998755603556E-3</v>
      </c>
      <c r="L26" s="17"/>
      <c r="M26" s="95"/>
      <c r="N26" s="134"/>
    </row>
    <row r="27" spans="1:14" s="7" customFormat="1" x14ac:dyDescent="0.25">
      <c r="A27" s="7" t="s">
        <v>779</v>
      </c>
      <c r="B27" s="7" t="s">
        <v>807</v>
      </c>
      <c r="C27" s="33" t="s">
        <v>62</v>
      </c>
      <c r="D27" s="10" t="s">
        <v>63</v>
      </c>
      <c r="E27" s="9" t="s">
        <v>20</v>
      </c>
      <c r="F27" s="209">
        <v>50.4</v>
      </c>
      <c r="G27" s="13">
        <v>76.84</v>
      </c>
      <c r="I27" s="95">
        <v>3872.74</v>
      </c>
      <c r="J27" s="95"/>
      <c r="K27" s="146">
        <f t="shared" si="1"/>
        <v>1.0018134998840451E-2</v>
      </c>
      <c r="L27" s="17"/>
      <c r="M27" s="95"/>
      <c r="N27" s="134"/>
    </row>
    <row r="28" spans="1:14" s="7" customFormat="1" x14ac:dyDescent="0.25">
      <c r="A28" s="7" t="s">
        <v>779</v>
      </c>
      <c r="B28" s="7" t="s">
        <v>808</v>
      </c>
      <c r="C28" s="33" t="s">
        <v>64</v>
      </c>
      <c r="D28" s="10" t="s">
        <v>65</v>
      </c>
      <c r="E28" s="9" t="s">
        <v>42</v>
      </c>
      <c r="F28" s="209">
        <v>787.5</v>
      </c>
      <c r="G28" s="13">
        <v>11.15</v>
      </c>
      <c r="I28" s="95">
        <v>8780.6299999999992</v>
      </c>
      <c r="J28" s="95"/>
      <c r="K28" s="146">
        <f t="shared" si="1"/>
        <v>2.2714031077446052E-2</v>
      </c>
      <c r="L28" s="17"/>
      <c r="M28" s="95"/>
      <c r="N28" s="134"/>
    </row>
    <row r="29" spans="1:14" s="7" customFormat="1" x14ac:dyDescent="0.25">
      <c r="A29" s="7" t="s">
        <v>779</v>
      </c>
      <c r="B29" s="262" t="s">
        <v>809</v>
      </c>
      <c r="C29" s="33" t="s">
        <v>66</v>
      </c>
      <c r="D29" s="10" t="s">
        <v>67</v>
      </c>
      <c r="E29" s="9" t="s">
        <v>26</v>
      </c>
      <c r="F29" s="209">
        <v>50.4</v>
      </c>
      <c r="G29" s="13">
        <v>734.02</v>
      </c>
      <c r="I29" s="95">
        <v>36994.61</v>
      </c>
      <c r="J29" s="95"/>
      <c r="K29" s="146">
        <f t="shared" si="1"/>
        <v>9.5698910128088371E-2</v>
      </c>
      <c r="L29" s="17"/>
      <c r="M29" s="95"/>
      <c r="N29" s="134"/>
    </row>
    <row r="30" spans="1:14" s="7" customFormat="1" x14ac:dyDescent="0.25">
      <c r="A30" s="7" t="s">
        <v>779</v>
      </c>
      <c r="B30" s="257" t="s">
        <v>780</v>
      </c>
      <c r="C30" s="32" t="s">
        <v>68</v>
      </c>
      <c r="D30" s="8" t="s">
        <v>69</v>
      </c>
      <c r="E30" s="9"/>
      <c r="F30" s="209"/>
      <c r="G30" s="13"/>
      <c r="I30" s="132"/>
      <c r="J30" s="109">
        <f>I31+I33</f>
        <v>16127.04</v>
      </c>
      <c r="K30" s="149">
        <f>J30/$M$5</f>
        <v>4.1717973282921116E-2</v>
      </c>
      <c r="L30" s="16"/>
      <c r="M30" s="109"/>
      <c r="N30" s="133"/>
    </row>
    <row r="31" spans="1:14" s="7" customFormat="1" x14ac:dyDescent="0.25">
      <c r="A31" s="7" t="s">
        <v>779</v>
      </c>
      <c r="B31" s="257" t="s">
        <v>780</v>
      </c>
      <c r="C31" s="32" t="s">
        <v>70</v>
      </c>
      <c r="D31" s="8" t="s">
        <v>71</v>
      </c>
      <c r="E31" s="9"/>
      <c r="F31" s="209"/>
      <c r="G31" s="13"/>
      <c r="I31" s="109">
        <f>I32</f>
        <v>2444</v>
      </c>
      <c r="J31" s="109"/>
      <c r="K31" s="146">
        <f t="shared" si="1"/>
        <v>6.3222219764730043E-3</v>
      </c>
      <c r="L31" s="16"/>
      <c r="M31" s="109"/>
      <c r="N31" s="133"/>
    </row>
    <row r="32" spans="1:14" s="7" customFormat="1" x14ac:dyDescent="0.25">
      <c r="A32" s="7" t="s">
        <v>779</v>
      </c>
      <c r="B32" s="263" t="s">
        <v>810</v>
      </c>
      <c r="C32" s="33" t="s">
        <v>72</v>
      </c>
      <c r="D32" s="10" t="s">
        <v>73</v>
      </c>
      <c r="E32" s="9" t="s">
        <v>57</v>
      </c>
      <c r="F32" s="209">
        <v>80</v>
      </c>
      <c r="G32" s="13">
        <v>30.55</v>
      </c>
      <c r="I32" s="95">
        <v>2444</v>
      </c>
      <c r="J32" s="95"/>
      <c r="K32" s="146">
        <f t="shared" si="1"/>
        <v>6.3222219764730043E-3</v>
      </c>
      <c r="L32" s="17"/>
      <c r="M32" s="95"/>
      <c r="N32" s="134"/>
    </row>
    <row r="33" spans="1:14" s="7" customFormat="1" x14ac:dyDescent="0.25">
      <c r="A33" s="7" t="s">
        <v>779</v>
      </c>
      <c r="B33" s="257" t="s">
        <v>780</v>
      </c>
      <c r="C33" s="32" t="s">
        <v>74</v>
      </c>
      <c r="D33" s="8" t="s">
        <v>75</v>
      </c>
      <c r="E33" s="9"/>
      <c r="F33" s="209"/>
      <c r="G33" s="13"/>
      <c r="I33" s="109">
        <f>I34</f>
        <v>13683.04</v>
      </c>
      <c r="J33" s="109"/>
      <c r="K33" s="146">
        <f t="shared" si="1"/>
        <v>3.5395751306448113E-2</v>
      </c>
      <c r="L33" s="16"/>
      <c r="M33" s="109"/>
      <c r="N33" s="133"/>
    </row>
    <row r="34" spans="1:14" s="7" customFormat="1" ht="25.5" x14ac:dyDescent="0.25">
      <c r="A34" s="7" t="s">
        <v>779</v>
      </c>
      <c r="B34" s="264" t="s">
        <v>811</v>
      </c>
      <c r="C34" s="33" t="s">
        <v>76</v>
      </c>
      <c r="D34" s="10" t="s">
        <v>77</v>
      </c>
      <c r="E34" s="9" t="s">
        <v>26</v>
      </c>
      <c r="F34" s="209">
        <v>8</v>
      </c>
      <c r="G34" s="13">
        <v>1710.38</v>
      </c>
      <c r="I34" s="95">
        <v>13683.04</v>
      </c>
      <c r="J34" s="95"/>
      <c r="K34" s="146">
        <f t="shared" si="1"/>
        <v>3.5395751306448113E-2</v>
      </c>
      <c r="L34" s="17"/>
      <c r="M34" s="95"/>
      <c r="N34" s="134"/>
    </row>
    <row r="35" spans="1:14" s="7" customFormat="1" x14ac:dyDescent="0.25">
      <c r="C35" s="33"/>
      <c r="D35" s="10"/>
      <c r="E35" s="9"/>
      <c r="F35" s="209"/>
      <c r="G35" s="13"/>
      <c r="I35" s="95"/>
      <c r="J35" s="95"/>
      <c r="K35" s="249"/>
      <c r="L35" s="17"/>
      <c r="M35" s="95"/>
      <c r="N35" s="134"/>
    </row>
    <row r="36" spans="1:14" s="7" customFormat="1" x14ac:dyDescent="0.25">
      <c r="A36" s="7" t="s">
        <v>781</v>
      </c>
      <c r="B36" s="257" t="s">
        <v>780</v>
      </c>
      <c r="C36" s="32">
        <v>2</v>
      </c>
      <c r="D36" s="8" t="s">
        <v>78</v>
      </c>
      <c r="E36" s="9"/>
      <c r="F36" s="209"/>
      <c r="G36" s="13"/>
      <c r="I36" s="109"/>
      <c r="J36" s="135"/>
      <c r="K36" s="250"/>
      <c r="M36" s="109">
        <f>SUM(J37:J65)</f>
        <v>743321.27</v>
      </c>
      <c r="N36" s="136">
        <f>M36/$I$177</f>
        <v>0.39005743451049346</v>
      </c>
    </row>
    <row r="37" spans="1:14" s="7" customFormat="1" x14ac:dyDescent="0.25">
      <c r="A37" s="7" t="s">
        <v>781</v>
      </c>
      <c r="B37" s="257" t="s">
        <v>780</v>
      </c>
      <c r="C37" s="32" t="s">
        <v>79</v>
      </c>
      <c r="D37" s="8" t="s">
        <v>15</v>
      </c>
      <c r="E37" s="9"/>
      <c r="F37" s="209"/>
      <c r="G37" s="13"/>
      <c r="I37" s="109"/>
      <c r="J37" s="109">
        <f>I38</f>
        <v>25048.97</v>
      </c>
      <c r="K37" s="149">
        <f>J37/$M$36</f>
        <v>3.369871280556791E-2</v>
      </c>
      <c r="L37" s="16"/>
      <c r="M37" s="109"/>
      <c r="N37" s="133"/>
    </row>
    <row r="38" spans="1:14" s="7" customFormat="1" x14ac:dyDescent="0.25">
      <c r="A38" s="7" t="s">
        <v>781</v>
      </c>
      <c r="B38" s="257" t="s">
        <v>780</v>
      </c>
      <c r="C38" s="32" t="s">
        <v>80</v>
      </c>
      <c r="D38" s="8" t="s">
        <v>17</v>
      </c>
      <c r="E38" s="9"/>
      <c r="F38" s="209"/>
      <c r="G38" s="13"/>
      <c r="I38" s="109">
        <f>SUM(I39:I42)</f>
        <v>25048.97</v>
      </c>
      <c r="J38" s="109"/>
      <c r="K38" s="146">
        <f>I38/$M$36</f>
        <v>3.369871280556791E-2</v>
      </c>
      <c r="L38" s="16"/>
      <c r="M38" s="109"/>
      <c r="N38" s="133"/>
    </row>
    <row r="39" spans="1:14" s="7" customFormat="1" x14ac:dyDescent="0.25">
      <c r="A39" s="7" t="s">
        <v>781</v>
      </c>
      <c r="B39" s="7" t="s">
        <v>791</v>
      </c>
      <c r="C39" s="33" t="s">
        <v>81</v>
      </c>
      <c r="D39" s="258" t="s">
        <v>19</v>
      </c>
      <c r="E39" s="9" t="s">
        <v>20</v>
      </c>
      <c r="F39" s="209">
        <v>913</v>
      </c>
      <c r="G39" s="13">
        <v>4.38</v>
      </c>
      <c r="I39" s="95">
        <v>3998.94</v>
      </c>
      <c r="J39" s="95"/>
      <c r="K39" s="146">
        <f t="shared" ref="K39:K42" si="2">I39/$M$36</f>
        <v>5.3798272179134601E-3</v>
      </c>
      <c r="L39" s="17"/>
      <c r="M39" s="95"/>
      <c r="N39" s="134"/>
    </row>
    <row r="40" spans="1:14" s="7" customFormat="1" x14ac:dyDescent="0.25">
      <c r="A40" s="7" t="s">
        <v>781</v>
      </c>
      <c r="B40" s="7" t="s">
        <v>792</v>
      </c>
      <c r="C40" s="33" t="s">
        <v>82</v>
      </c>
      <c r="D40" s="10" t="s">
        <v>22</v>
      </c>
      <c r="E40" s="9" t="s">
        <v>23</v>
      </c>
      <c r="F40" s="209">
        <v>22.83</v>
      </c>
      <c r="G40" s="13">
        <v>217.25</v>
      </c>
      <c r="I40" s="95">
        <v>4958.7299999999996</v>
      </c>
      <c r="J40" s="95"/>
      <c r="K40" s="146">
        <f t="shared" si="2"/>
        <v>6.671045482123765E-3</v>
      </c>
      <c r="L40" s="17"/>
      <c r="M40" s="95"/>
      <c r="N40" s="134"/>
    </row>
    <row r="41" spans="1:14" s="7" customFormat="1" x14ac:dyDescent="0.25">
      <c r="A41" s="7" t="s">
        <v>781</v>
      </c>
      <c r="B41" s="7" t="s">
        <v>793</v>
      </c>
      <c r="C41" s="33" t="s">
        <v>83</v>
      </c>
      <c r="D41" s="10" t="s">
        <v>25</v>
      </c>
      <c r="E41" s="9" t="s">
        <v>26</v>
      </c>
      <c r="F41" s="209">
        <v>273.89999999999998</v>
      </c>
      <c r="G41" s="13">
        <v>17.54</v>
      </c>
      <c r="I41" s="95">
        <v>4804.21</v>
      </c>
      <c r="J41" s="95"/>
      <c r="K41" s="146">
        <f t="shared" si="2"/>
        <v>6.4631676690753113E-3</v>
      </c>
      <c r="L41" s="17"/>
      <c r="M41" s="95"/>
      <c r="N41" s="134"/>
    </row>
    <row r="42" spans="1:14" s="7" customFormat="1" x14ac:dyDescent="0.25">
      <c r="A42" s="7" t="s">
        <v>781</v>
      </c>
      <c r="B42" s="7" t="s">
        <v>794</v>
      </c>
      <c r="C42" s="33" t="s">
        <v>84</v>
      </c>
      <c r="D42" s="259" t="s">
        <v>28</v>
      </c>
      <c r="E42" s="9" t="s">
        <v>29</v>
      </c>
      <c r="F42" s="209">
        <v>5505.9</v>
      </c>
      <c r="G42" s="13">
        <v>2.0499999999999998</v>
      </c>
      <c r="I42" s="95">
        <v>11287.09</v>
      </c>
      <c r="J42" s="95"/>
      <c r="K42" s="146">
        <f t="shared" si="2"/>
        <v>1.518467243645537E-2</v>
      </c>
      <c r="L42" s="17"/>
      <c r="M42" s="95"/>
      <c r="N42" s="134"/>
    </row>
    <row r="43" spans="1:14" s="7" customFormat="1" x14ac:dyDescent="0.25">
      <c r="A43" s="7" t="s">
        <v>781</v>
      </c>
      <c r="B43" s="257" t="s">
        <v>780</v>
      </c>
      <c r="C43" s="32" t="s">
        <v>85</v>
      </c>
      <c r="D43" s="8" t="s">
        <v>31</v>
      </c>
      <c r="E43" s="9"/>
      <c r="F43" s="209"/>
      <c r="G43" s="13"/>
      <c r="I43" s="109"/>
      <c r="J43" s="109">
        <f>I44+I46</f>
        <v>712670.02</v>
      </c>
      <c r="K43" s="149">
        <f t="shared" ref="K43:K61" si="3">J43/$M$36</f>
        <v>0.958764465330045</v>
      </c>
      <c r="L43" s="16"/>
      <c r="M43" s="109"/>
      <c r="N43" s="133"/>
    </row>
    <row r="44" spans="1:14" s="7" customFormat="1" x14ac:dyDescent="0.25">
      <c r="A44" s="7" t="s">
        <v>781</v>
      </c>
      <c r="B44" s="257" t="s">
        <v>780</v>
      </c>
      <c r="C44" s="32" t="s">
        <v>86</v>
      </c>
      <c r="D44" s="8" t="s">
        <v>33</v>
      </c>
      <c r="E44" s="9"/>
      <c r="F44" s="209"/>
      <c r="G44" s="13"/>
      <c r="I44" s="109">
        <f>I45</f>
        <v>668681.92000000004</v>
      </c>
      <c r="J44" s="109"/>
      <c r="K44" s="146">
        <f>I44/$M$36</f>
        <v>0.89958668880819193</v>
      </c>
      <c r="L44" s="16"/>
      <c r="M44" s="109"/>
      <c r="N44" s="133"/>
    </row>
    <row r="45" spans="1:14" s="7" customFormat="1" ht="25.5" x14ac:dyDescent="0.25">
      <c r="A45" s="7" t="s">
        <v>781</v>
      </c>
      <c r="B45" s="7" t="s">
        <v>795</v>
      </c>
      <c r="C45" s="33" t="s">
        <v>87</v>
      </c>
      <c r="D45" s="10" t="s">
        <v>35</v>
      </c>
      <c r="E45" s="9" t="s">
        <v>20</v>
      </c>
      <c r="F45" s="209">
        <v>886</v>
      </c>
      <c r="G45" s="13">
        <v>754.72</v>
      </c>
      <c r="I45" s="95">
        <v>668681.92000000004</v>
      </c>
      <c r="J45" s="95"/>
      <c r="K45" s="146">
        <f t="shared" ref="K45:K60" si="4">I45/$M$36</f>
        <v>0.89958668880819193</v>
      </c>
      <c r="L45" s="17"/>
      <c r="M45" s="95"/>
      <c r="N45" s="134"/>
    </row>
    <row r="46" spans="1:14" s="7" customFormat="1" x14ac:dyDescent="0.25">
      <c r="A46" s="7" t="s">
        <v>781</v>
      </c>
      <c r="B46" s="257"/>
      <c r="C46" s="32" t="s">
        <v>88</v>
      </c>
      <c r="D46" s="8" t="s">
        <v>37</v>
      </c>
      <c r="E46" s="9"/>
      <c r="F46" s="209"/>
      <c r="G46" s="13"/>
      <c r="I46" s="109">
        <f>SUM(I47:I60)</f>
        <v>43988.099999999991</v>
      </c>
      <c r="J46" s="109"/>
      <c r="K46" s="146">
        <f t="shared" si="4"/>
        <v>5.9177776521853048E-2</v>
      </c>
      <c r="L46" s="16"/>
      <c r="M46" s="109"/>
      <c r="N46" s="133"/>
    </row>
    <row r="47" spans="1:14" s="7" customFormat="1" x14ac:dyDescent="0.25">
      <c r="A47" s="7" t="s">
        <v>781</v>
      </c>
      <c r="B47" s="7" t="s">
        <v>796</v>
      </c>
      <c r="C47" s="33" t="s">
        <v>89</v>
      </c>
      <c r="D47" s="10" t="s">
        <v>39</v>
      </c>
      <c r="E47" s="9" t="s">
        <v>26</v>
      </c>
      <c r="F47" s="209">
        <v>10.8</v>
      </c>
      <c r="G47" s="13">
        <v>641.26</v>
      </c>
      <c r="I47" s="95">
        <v>6925.61</v>
      </c>
      <c r="J47" s="95"/>
      <c r="K47" s="146">
        <f t="shared" si="4"/>
        <v>9.3171153302259186E-3</v>
      </c>
      <c r="L47" s="17"/>
      <c r="M47" s="95"/>
      <c r="N47" s="134"/>
    </row>
    <row r="48" spans="1:14" s="7" customFormat="1" x14ac:dyDescent="0.25">
      <c r="A48" s="7" t="s">
        <v>781</v>
      </c>
      <c r="B48" s="7" t="s">
        <v>797</v>
      </c>
      <c r="C48" s="33" t="s">
        <v>90</v>
      </c>
      <c r="D48" s="10" t="s">
        <v>41</v>
      </c>
      <c r="E48" s="9" t="s">
        <v>42</v>
      </c>
      <c r="F48" s="209">
        <v>270</v>
      </c>
      <c r="G48" s="13">
        <v>8.64</v>
      </c>
      <c r="I48" s="95">
        <v>2332.8000000000002</v>
      </c>
      <c r="J48" s="95"/>
      <c r="K48" s="146">
        <f t="shared" si="4"/>
        <v>3.1383468954144151E-3</v>
      </c>
      <c r="L48" s="17"/>
      <c r="M48" s="95"/>
      <c r="N48" s="134"/>
    </row>
    <row r="49" spans="1:14" s="7" customFormat="1" x14ac:dyDescent="0.25">
      <c r="A49" s="7" t="s">
        <v>781</v>
      </c>
      <c r="B49" s="7" t="s">
        <v>798</v>
      </c>
      <c r="C49" s="33" t="s">
        <v>91</v>
      </c>
      <c r="D49" s="10" t="s">
        <v>44</v>
      </c>
      <c r="E49" s="9" t="s">
        <v>42</v>
      </c>
      <c r="F49" s="209">
        <v>486</v>
      </c>
      <c r="G49" s="13">
        <v>9.66</v>
      </c>
      <c r="I49" s="95">
        <v>4694.76</v>
      </c>
      <c r="J49" s="95"/>
      <c r="K49" s="146">
        <f t="shared" si="4"/>
        <v>6.3159231270215098E-3</v>
      </c>
      <c r="L49" s="17"/>
      <c r="M49" s="95"/>
      <c r="N49" s="134"/>
    </row>
    <row r="50" spans="1:14" s="7" customFormat="1" x14ac:dyDescent="0.25">
      <c r="A50" s="7" t="s">
        <v>781</v>
      </c>
      <c r="B50" s="7" t="s">
        <v>799</v>
      </c>
      <c r="C50" s="33" t="s">
        <v>92</v>
      </c>
      <c r="D50" s="10" t="s">
        <v>46</v>
      </c>
      <c r="E50" s="9" t="s">
        <v>42</v>
      </c>
      <c r="F50" s="209">
        <v>486</v>
      </c>
      <c r="G50" s="13">
        <v>8.84</v>
      </c>
      <c r="I50" s="95">
        <v>4296.24</v>
      </c>
      <c r="J50" s="95"/>
      <c r="K50" s="146">
        <f t="shared" si="4"/>
        <v>5.7797888657215466E-3</v>
      </c>
      <c r="L50" s="17"/>
      <c r="M50" s="95"/>
      <c r="N50" s="134"/>
    </row>
    <row r="51" spans="1:14" s="7" customFormat="1" x14ac:dyDescent="0.25">
      <c r="A51" s="7" t="s">
        <v>781</v>
      </c>
      <c r="B51" s="7" t="s">
        <v>800</v>
      </c>
      <c r="C51" s="33" t="s">
        <v>93</v>
      </c>
      <c r="D51" s="10" t="s">
        <v>48</v>
      </c>
      <c r="E51" s="9" t="s">
        <v>26</v>
      </c>
      <c r="F51" s="209">
        <v>21.6</v>
      </c>
      <c r="G51" s="13">
        <v>25.13</v>
      </c>
      <c r="I51" s="95">
        <v>542.80999999999995</v>
      </c>
      <c r="J51" s="95"/>
      <c r="K51" s="146">
        <f t="shared" si="4"/>
        <v>7.3024951916147909E-4</v>
      </c>
      <c r="L51" s="17"/>
      <c r="M51" s="95"/>
      <c r="N51" s="134"/>
    </row>
    <row r="52" spans="1:14" s="7" customFormat="1" x14ac:dyDescent="0.25">
      <c r="A52" s="7" t="s">
        <v>781</v>
      </c>
      <c r="B52" s="7" t="s">
        <v>801</v>
      </c>
      <c r="C52" s="33" t="s">
        <v>94</v>
      </c>
      <c r="D52" s="10" t="s">
        <v>50</v>
      </c>
      <c r="E52" s="9" t="s">
        <v>26</v>
      </c>
      <c r="F52" s="209">
        <v>0.54</v>
      </c>
      <c r="G52" s="13">
        <v>900.01</v>
      </c>
      <c r="I52" s="95">
        <v>486.01</v>
      </c>
      <c r="J52" s="95"/>
      <c r="K52" s="146">
        <f t="shared" si="4"/>
        <v>6.5383572301112814E-4</v>
      </c>
      <c r="L52" s="17"/>
      <c r="M52" s="95"/>
      <c r="N52" s="134"/>
    </row>
    <row r="53" spans="1:14" s="7" customFormat="1" x14ac:dyDescent="0.25">
      <c r="A53" s="7" t="s">
        <v>781</v>
      </c>
      <c r="B53" s="7" t="s">
        <v>802</v>
      </c>
      <c r="C53" s="33" t="s">
        <v>95</v>
      </c>
      <c r="D53" s="10" t="s">
        <v>52</v>
      </c>
      <c r="E53" s="9" t="s">
        <v>26</v>
      </c>
      <c r="F53" s="209">
        <v>0.54</v>
      </c>
      <c r="G53" s="13">
        <v>1002.12</v>
      </c>
      <c r="I53" s="95">
        <v>541.14</v>
      </c>
      <c r="J53" s="95"/>
      <c r="K53" s="146">
        <f t="shared" si="4"/>
        <v>7.2800284592959379E-4</v>
      </c>
      <c r="L53" s="17"/>
      <c r="M53" s="95"/>
      <c r="N53" s="134"/>
    </row>
    <row r="54" spans="1:14" s="7" customFormat="1" x14ac:dyDescent="0.25">
      <c r="A54" s="7" t="s">
        <v>781</v>
      </c>
      <c r="B54" s="7" t="s">
        <v>803</v>
      </c>
      <c r="C54" s="33" t="s">
        <v>96</v>
      </c>
      <c r="D54" s="10" t="s">
        <v>54</v>
      </c>
      <c r="E54" s="9" t="s">
        <v>26</v>
      </c>
      <c r="F54" s="209">
        <v>13.5</v>
      </c>
      <c r="G54" s="13">
        <v>1037.21</v>
      </c>
      <c r="I54" s="95">
        <v>14002.33</v>
      </c>
      <c r="J54" s="95"/>
      <c r="K54" s="146">
        <f t="shared" si="4"/>
        <v>1.8837520955104648E-2</v>
      </c>
      <c r="L54" s="17"/>
      <c r="M54" s="95"/>
      <c r="N54" s="134"/>
    </row>
    <row r="55" spans="1:14" s="7" customFormat="1" x14ac:dyDescent="0.25">
      <c r="A55" s="7" t="s">
        <v>781</v>
      </c>
      <c r="B55" s="7" t="s">
        <v>804</v>
      </c>
      <c r="C55" s="33" t="s">
        <v>97</v>
      </c>
      <c r="D55" s="10" t="s">
        <v>56</v>
      </c>
      <c r="E55" s="9" t="s">
        <v>57</v>
      </c>
      <c r="F55" s="209">
        <v>13.5</v>
      </c>
      <c r="G55" s="13">
        <v>45.3</v>
      </c>
      <c r="I55" s="95">
        <v>611.54999999999995</v>
      </c>
      <c r="J55" s="95"/>
      <c r="K55" s="146">
        <f t="shared" si="4"/>
        <v>8.2272635626315382E-4</v>
      </c>
      <c r="L55" s="17"/>
      <c r="M55" s="95"/>
      <c r="N55" s="134"/>
    </row>
    <row r="56" spans="1:14" s="7" customFormat="1" x14ac:dyDescent="0.25">
      <c r="A56" s="7" t="s">
        <v>781</v>
      </c>
      <c r="B56" s="7" t="s">
        <v>805</v>
      </c>
      <c r="C56" s="33" t="s">
        <v>98</v>
      </c>
      <c r="D56" s="10" t="s">
        <v>59</v>
      </c>
      <c r="E56" s="9" t="s">
        <v>20</v>
      </c>
      <c r="F56" s="209">
        <v>27</v>
      </c>
      <c r="G56" s="13">
        <v>106.17</v>
      </c>
      <c r="I56" s="95">
        <v>2866.59</v>
      </c>
      <c r="J56" s="95"/>
      <c r="K56" s="146">
        <f t="shared" si="4"/>
        <v>3.8564616884970882E-3</v>
      </c>
      <c r="L56" s="17"/>
      <c r="M56" s="95"/>
      <c r="N56" s="134"/>
    </row>
    <row r="57" spans="1:14" s="7" customFormat="1" ht="25.5" x14ac:dyDescent="0.25">
      <c r="A57" s="7" t="s">
        <v>781</v>
      </c>
      <c r="B57" s="7" t="s">
        <v>806</v>
      </c>
      <c r="C57" s="33" t="s">
        <v>99</v>
      </c>
      <c r="D57" s="10" t="s">
        <v>61</v>
      </c>
      <c r="E57" s="9" t="s">
        <v>26</v>
      </c>
      <c r="F57" s="209">
        <v>1.6</v>
      </c>
      <c r="G57" s="13">
        <v>56.85</v>
      </c>
      <c r="I57" s="95">
        <v>90.96</v>
      </c>
      <c r="J57" s="95"/>
      <c r="K57" s="146">
        <f t="shared" si="4"/>
        <v>1.2236969890556205E-4</v>
      </c>
      <c r="L57" s="17"/>
      <c r="M57" s="95"/>
      <c r="N57" s="134"/>
    </row>
    <row r="58" spans="1:14" s="7" customFormat="1" x14ac:dyDescent="0.25">
      <c r="A58" s="7" t="s">
        <v>781</v>
      </c>
      <c r="B58" s="7" t="s">
        <v>807</v>
      </c>
      <c r="C58" s="33" t="s">
        <v>100</v>
      </c>
      <c r="D58" s="10" t="s">
        <v>63</v>
      </c>
      <c r="E58" s="9" t="s">
        <v>20</v>
      </c>
      <c r="F58" s="209">
        <v>21.6</v>
      </c>
      <c r="G58" s="13">
        <v>76.84</v>
      </c>
      <c r="I58" s="95">
        <v>1659.74</v>
      </c>
      <c r="J58" s="95"/>
      <c r="K58" s="146">
        <f t="shared" si="4"/>
        <v>2.2328703172990057E-3</v>
      </c>
      <c r="L58" s="17"/>
      <c r="M58" s="95"/>
      <c r="N58" s="134"/>
    </row>
    <row r="59" spans="1:14" s="7" customFormat="1" x14ac:dyDescent="0.25">
      <c r="A59" s="7" t="s">
        <v>781</v>
      </c>
      <c r="B59" s="7" t="s">
        <v>808</v>
      </c>
      <c r="C59" s="33" t="s">
        <v>101</v>
      </c>
      <c r="D59" s="10" t="s">
        <v>65</v>
      </c>
      <c r="E59" s="9" t="s">
        <v>42</v>
      </c>
      <c r="F59" s="209">
        <v>337.5</v>
      </c>
      <c r="G59" s="13">
        <v>11.15</v>
      </c>
      <c r="I59" s="95">
        <v>3763.13</v>
      </c>
      <c r="J59" s="95"/>
      <c r="K59" s="146">
        <f t="shared" si="4"/>
        <v>5.0625888856913786E-3</v>
      </c>
      <c r="L59" s="17"/>
      <c r="M59" s="95"/>
      <c r="N59" s="134"/>
    </row>
    <row r="60" spans="1:14" s="7" customFormat="1" x14ac:dyDescent="0.25">
      <c r="A60" s="7" t="s">
        <v>781</v>
      </c>
      <c r="B60" s="7" t="s">
        <v>812</v>
      </c>
      <c r="C60" s="33" t="s">
        <v>102</v>
      </c>
      <c r="D60" s="10" t="s">
        <v>67</v>
      </c>
      <c r="E60" s="9" t="s">
        <v>26</v>
      </c>
      <c r="F60" s="209">
        <v>1.6</v>
      </c>
      <c r="G60" s="13">
        <v>734.02</v>
      </c>
      <c r="I60" s="95">
        <v>1174.43</v>
      </c>
      <c r="J60" s="95"/>
      <c r="K60" s="146">
        <f t="shared" si="4"/>
        <v>1.5799763136066321E-3</v>
      </c>
      <c r="L60" s="17"/>
      <c r="M60" s="95"/>
      <c r="N60" s="134"/>
    </row>
    <row r="61" spans="1:14" s="7" customFormat="1" x14ac:dyDescent="0.25">
      <c r="A61" s="7" t="s">
        <v>781</v>
      </c>
      <c r="B61" s="257"/>
      <c r="C61" s="32" t="s">
        <v>103</v>
      </c>
      <c r="D61" s="8" t="s">
        <v>69</v>
      </c>
      <c r="E61" s="9"/>
      <c r="F61" s="209"/>
      <c r="G61" s="13"/>
      <c r="I61" s="109"/>
      <c r="J61" s="109">
        <f>I62+I64</f>
        <v>5602.2800000000007</v>
      </c>
      <c r="K61" s="149">
        <f t="shared" si="3"/>
        <v>7.5368218643871183E-3</v>
      </c>
      <c r="L61" s="16"/>
      <c r="M61" s="109"/>
      <c r="N61" s="133"/>
    </row>
    <row r="62" spans="1:14" s="7" customFormat="1" x14ac:dyDescent="0.25">
      <c r="A62" s="7" t="s">
        <v>781</v>
      </c>
      <c r="B62" s="257"/>
      <c r="C62" s="32" t="s">
        <v>104</v>
      </c>
      <c r="D62" s="8" t="s">
        <v>71</v>
      </c>
      <c r="E62" s="9"/>
      <c r="F62" s="209"/>
      <c r="G62" s="13"/>
      <c r="I62" s="109">
        <f>I63</f>
        <v>3207.75</v>
      </c>
      <c r="J62" s="109"/>
      <c r="K62" s="146">
        <f>I62/$M$36</f>
        <v>4.3154287781916965E-3</v>
      </c>
      <c r="L62" s="16"/>
      <c r="M62" s="109"/>
      <c r="N62" s="133"/>
    </row>
    <row r="63" spans="1:14" s="7" customFormat="1" x14ac:dyDescent="0.25">
      <c r="A63" s="7" t="s">
        <v>781</v>
      </c>
      <c r="B63" s="7" t="s">
        <v>813</v>
      </c>
      <c r="C63" s="33" t="s">
        <v>105</v>
      </c>
      <c r="D63" s="10" t="s">
        <v>73</v>
      </c>
      <c r="E63" s="9" t="s">
        <v>57</v>
      </c>
      <c r="F63" s="209">
        <v>105</v>
      </c>
      <c r="G63" s="13">
        <v>30.55</v>
      </c>
      <c r="I63" s="95">
        <v>3207.75</v>
      </c>
      <c r="J63" s="95"/>
      <c r="K63" s="146">
        <f t="shared" ref="K63:K65" si="5">I63/$M$36</f>
        <v>4.3154287781916965E-3</v>
      </c>
      <c r="L63" s="17"/>
      <c r="M63" s="95"/>
      <c r="N63" s="134"/>
    </row>
    <row r="64" spans="1:14" s="7" customFormat="1" x14ac:dyDescent="0.25">
      <c r="A64" s="7" t="s">
        <v>781</v>
      </c>
      <c r="B64" s="257"/>
      <c r="C64" s="32" t="s">
        <v>106</v>
      </c>
      <c r="D64" s="8" t="s">
        <v>75</v>
      </c>
      <c r="E64" s="9"/>
      <c r="F64" s="209"/>
      <c r="G64" s="13"/>
      <c r="I64" s="109">
        <f>I65</f>
        <v>2394.5300000000002</v>
      </c>
      <c r="J64" s="109"/>
      <c r="K64" s="146">
        <f t="shared" si="5"/>
        <v>3.2213930861954214E-3</v>
      </c>
      <c r="L64" s="16"/>
      <c r="M64" s="109"/>
      <c r="N64" s="133"/>
    </row>
    <row r="65" spans="1:14" s="7" customFormat="1" ht="25.5" x14ac:dyDescent="0.25">
      <c r="A65" s="7" t="s">
        <v>781</v>
      </c>
      <c r="B65" s="7" t="s">
        <v>814</v>
      </c>
      <c r="C65" s="33" t="s">
        <v>107</v>
      </c>
      <c r="D65" s="10" t="s">
        <v>77</v>
      </c>
      <c r="E65" s="9" t="s">
        <v>26</v>
      </c>
      <c r="F65" s="209">
        <v>1.4</v>
      </c>
      <c r="G65" s="13">
        <v>1710.38</v>
      </c>
      <c r="I65" s="95">
        <v>2394.5300000000002</v>
      </c>
      <c r="J65" s="95"/>
      <c r="K65" s="146">
        <f t="shared" si="5"/>
        <v>3.2213930861954214E-3</v>
      </c>
      <c r="L65" s="17"/>
      <c r="M65" s="95"/>
      <c r="N65" s="134"/>
    </row>
    <row r="66" spans="1:14" s="7" customFormat="1" x14ac:dyDescent="0.25">
      <c r="C66" s="33"/>
      <c r="D66" s="10"/>
      <c r="E66" s="9"/>
      <c r="F66" s="209"/>
      <c r="G66" s="13"/>
      <c r="I66" s="95"/>
      <c r="J66" s="95"/>
      <c r="K66" s="251"/>
      <c r="L66" s="17"/>
      <c r="M66" s="95"/>
      <c r="N66" s="134"/>
    </row>
    <row r="67" spans="1:14" s="7" customFormat="1" x14ac:dyDescent="0.25">
      <c r="A67" s="7" t="s">
        <v>782</v>
      </c>
      <c r="B67" s="257" t="s">
        <v>780</v>
      </c>
      <c r="C67" s="32">
        <v>3</v>
      </c>
      <c r="D67" s="8" t="s">
        <v>108</v>
      </c>
      <c r="E67" s="9"/>
      <c r="F67" s="209"/>
      <c r="G67" s="13"/>
      <c r="I67" s="109"/>
      <c r="J67" s="135"/>
      <c r="K67" s="250"/>
      <c r="M67" s="109">
        <f>SUM(J68:J85)</f>
        <v>357741.8</v>
      </c>
      <c r="N67" s="136">
        <f>M67/$I$177</f>
        <v>0.18772481611506428</v>
      </c>
    </row>
    <row r="68" spans="1:14" s="7" customFormat="1" x14ac:dyDescent="0.25">
      <c r="A68" s="7" t="s">
        <v>782</v>
      </c>
      <c r="C68" s="32" t="s">
        <v>109</v>
      </c>
      <c r="D68" s="8" t="s">
        <v>15</v>
      </c>
      <c r="E68" s="9"/>
      <c r="F68" s="209"/>
      <c r="G68" s="13"/>
      <c r="I68" s="109"/>
      <c r="J68" s="109">
        <f>I69</f>
        <v>20384.02</v>
      </c>
      <c r="K68" s="149">
        <f>J68/$M$67</f>
        <v>5.6979698765981503E-2</v>
      </c>
      <c r="L68" s="16"/>
      <c r="M68" s="109"/>
      <c r="N68" s="133"/>
    </row>
    <row r="69" spans="1:14" s="7" customFormat="1" x14ac:dyDescent="0.25">
      <c r="A69" s="7" t="s">
        <v>782</v>
      </c>
      <c r="C69" s="32" t="s">
        <v>110</v>
      </c>
      <c r="D69" s="8" t="s">
        <v>17</v>
      </c>
      <c r="E69" s="9"/>
      <c r="F69" s="209"/>
      <c r="G69" s="13"/>
      <c r="I69" s="109">
        <f>SUM(I70:I73)</f>
        <v>20384.02</v>
      </c>
      <c r="J69" s="109"/>
      <c r="K69" s="146">
        <f>I69/$M$67</f>
        <v>5.6979698765981503E-2</v>
      </c>
      <c r="L69" s="16"/>
      <c r="M69" s="109"/>
      <c r="N69" s="133"/>
    </row>
    <row r="70" spans="1:14" s="7" customFormat="1" x14ac:dyDescent="0.25">
      <c r="A70" s="7" t="s">
        <v>782</v>
      </c>
      <c r="B70" s="7" t="s">
        <v>791</v>
      </c>
      <c r="C70" s="33" t="s">
        <v>111</v>
      </c>
      <c r="D70" s="10" t="s">
        <v>19</v>
      </c>
      <c r="E70" s="9" t="s">
        <v>20</v>
      </c>
      <c r="F70" s="209">
        <v>743</v>
      </c>
      <c r="G70" s="13">
        <v>4.38</v>
      </c>
      <c r="I70" s="95">
        <v>3254.34</v>
      </c>
      <c r="J70" s="95"/>
      <c r="K70" s="146">
        <f t="shared" ref="K70:K73" si="6">I70/$M$67</f>
        <v>9.0968961412952031E-3</v>
      </c>
      <c r="L70" s="17"/>
      <c r="M70" s="95"/>
      <c r="N70" s="134"/>
    </row>
    <row r="71" spans="1:14" s="7" customFormat="1" x14ac:dyDescent="0.25">
      <c r="A71" s="7" t="s">
        <v>782</v>
      </c>
      <c r="B71" s="7" t="s">
        <v>792</v>
      </c>
      <c r="C71" s="33" t="s">
        <v>112</v>
      </c>
      <c r="D71" s="10" t="s">
        <v>22</v>
      </c>
      <c r="E71" s="9" t="s">
        <v>23</v>
      </c>
      <c r="F71" s="209">
        <v>18.579999999999998</v>
      </c>
      <c r="G71" s="13">
        <v>217.25</v>
      </c>
      <c r="I71" s="95">
        <v>4035.42</v>
      </c>
      <c r="J71" s="95"/>
      <c r="K71" s="146">
        <f t="shared" si="6"/>
        <v>1.12802585551926E-2</v>
      </c>
      <c r="L71" s="17"/>
      <c r="M71" s="95"/>
      <c r="N71" s="134"/>
    </row>
    <row r="72" spans="1:14" s="7" customFormat="1" x14ac:dyDescent="0.25">
      <c r="A72" s="7" t="s">
        <v>782</v>
      </c>
      <c r="B72" s="7" t="s">
        <v>793</v>
      </c>
      <c r="C72" s="33" t="s">
        <v>113</v>
      </c>
      <c r="D72" s="10" t="s">
        <v>25</v>
      </c>
      <c r="E72" s="9" t="s">
        <v>26</v>
      </c>
      <c r="F72" s="209">
        <v>222.9</v>
      </c>
      <c r="G72" s="13">
        <v>17.54</v>
      </c>
      <c r="I72" s="95">
        <v>3909.67</v>
      </c>
      <c r="J72" s="95"/>
      <c r="K72" s="146">
        <f t="shared" si="6"/>
        <v>1.0928748052366261E-2</v>
      </c>
      <c r="L72" s="17"/>
      <c r="M72" s="95"/>
      <c r="N72" s="134"/>
    </row>
    <row r="73" spans="1:14" s="7" customFormat="1" x14ac:dyDescent="0.25">
      <c r="A73" s="7" t="s">
        <v>782</v>
      </c>
      <c r="B73" s="7" t="s">
        <v>794</v>
      </c>
      <c r="C73" s="33" t="s">
        <v>114</v>
      </c>
      <c r="D73" s="10" t="s">
        <v>28</v>
      </c>
      <c r="E73" s="9" t="s">
        <v>29</v>
      </c>
      <c r="F73" s="209">
        <v>4480.29</v>
      </c>
      <c r="G73" s="13">
        <v>2.0499999999999998</v>
      </c>
      <c r="I73" s="95">
        <v>9184.59</v>
      </c>
      <c r="J73" s="95"/>
      <c r="K73" s="146">
        <f t="shared" si="6"/>
        <v>2.5673796017127437E-2</v>
      </c>
      <c r="L73" s="17"/>
      <c r="M73" s="95"/>
      <c r="N73" s="134"/>
    </row>
    <row r="74" spans="1:14" s="7" customFormat="1" x14ac:dyDescent="0.25">
      <c r="A74" s="7" t="s">
        <v>782</v>
      </c>
      <c r="C74" s="32" t="s">
        <v>115</v>
      </c>
      <c r="D74" s="8" t="s">
        <v>31</v>
      </c>
      <c r="E74" s="9"/>
      <c r="F74" s="209"/>
      <c r="G74" s="13"/>
      <c r="I74" s="109"/>
      <c r="J74" s="109">
        <f>I75+I77</f>
        <v>328804.82999999996</v>
      </c>
      <c r="K74" s="149">
        <f t="shared" ref="K74:K81" si="7">J74/$M$67</f>
        <v>0.91911213618313536</v>
      </c>
      <c r="L74" s="16"/>
      <c r="M74" s="109"/>
      <c r="N74" s="133"/>
    </row>
    <row r="75" spans="1:14" s="7" customFormat="1" x14ac:dyDescent="0.25">
      <c r="A75" s="7" t="s">
        <v>782</v>
      </c>
      <c r="C75" s="32" t="s">
        <v>116</v>
      </c>
      <c r="D75" s="8" t="s">
        <v>33</v>
      </c>
      <c r="E75" s="9"/>
      <c r="F75" s="209"/>
      <c r="G75" s="13"/>
      <c r="I75" s="109">
        <f>I76</f>
        <v>270944.48</v>
      </c>
      <c r="J75" s="109"/>
      <c r="K75" s="146">
        <f>I75/$M$67</f>
        <v>0.75737439684152086</v>
      </c>
      <c r="L75" s="16"/>
      <c r="M75" s="109"/>
      <c r="N75" s="133"/>
    </row>
    <row r="76" spans="1:14" s="7" customFormat="1" ht="25.5" x14ac:dyDescent="0.25">
      <c r="A76" s="7" t="s">
        <v>782</v>
      </c>
      <c r="B76" s="7" t="s">
        <v>795</v>
      </c>
      <c r="C76" s="33" t="s">
        <v>117</v>
      </c>
      <c r="D76" s="10" t="s">
        <v>35</v>
      </c>
      <c r="E76" s="9" t="s">
        <v>20</v>
      </c>
      <c r="F76" s="209">
        <v>359</v>
      </c>
      <c r="G76" s="13">
        <v>754.72</v>
      </c>
      <c r="I76" s="95">
        <v>270944.48</v>
      </c>
      <c r="J76" s="95"/>
      <c r="K76" s="146">
        <f t="shared" ref="K76:K80" si="8">I76/$M$67</f>
        <v>0.75737439684152086</v>
      </c>
      <c r="L76" s="17"/>
      <c r="M76" s="95"/>
      <c r="N76" s="134"/>
    </row>
    <row r="77" spans="1:14" s="7" customFormat="1" x14ac:dyDescent="0.25">
      <c r="A77" s="7" t="s">
        <v>782</v>
      </c>
      <c r="C77" s="32" t="s">
        <v>118</v>
      </c>
      <c r="D77" s="8" t="s">
        <v>119</v>
      </c>
      <c r="E77" s="9"/>
      <c r="F77" s="209"/>
      <c r="G77" s="13"/>
      <c r="I77" s="109">
        <f>SUM(I78:I80)</f>
        <v>57860.35</v>
      </c>
      <c r="J77" s="109"/>
      <c r="K77" s="146">
        <f t="shared" si="8"/>
        <v>0.16173773934161453</v>
      </c>
      <c r="L77" s="16"/>
      <c r="M77" s="109"/>
      <c r="N77" s="133"/>
    </row>
    <row r="78" spans="1:14" s="7" customFormat="1" x14ac:dyDescent="0.25">
      <c r="A78" s="7" t="s">
        <v>782</v>
      </c>
      <c r="B78" s="7" t="s">
        <v>815</v>
      </c>
      <c r="C78" s="33" t="s">
        <v>120</v>
      </c>
      <c r="D78" s="10" t="s">
        <v>121</v>
      </c>
      <c r="E78" s="9" t="s">
        <v>26</v>
      </c>
      <c r="F78" s="209">
        <v>691.2</v>
      </c>
      <c r="G78" s="13">
        <v>78.849999999999994</v>
      </c>
      <c r="I78" s="95">
        <v>54501.120000000003</v>
      </c>
      <c r="J78" s="95"/>
      <c r="K78" s="146">
        <f t="shared" si="8"/>
        <v>0.15234764290893602</v>
      </c>
      <c r="L78" s="17"/>
      <c r="M78" s="95"/>
      <c r="N78" s="134"/>
    </row>
    <row r="79" spans="1:14" s="7" customFormat="1" x14ac:dyDescent="0.25">
      <c r="A79" s="7" t="s">
        <v>782</v>
      </c>
      <c r="B79" s="7" t="s">
        <v>816</v>
      </c>
      <c r="C79" s="33" t="s">
        <v>122</v>
      </c>
      <c r="D79" s="10" t="s">
        <v>123</v>
      </c>
      <c r="E79" s="9" t="s">
        <v>26</v>
      </c>
      <c r="F79" s="209">
        <v>115.2</v>
      </c>
      <c r="G79" s="13">
        <v>10.49</v>
      </c>
      <c r="I79" s="95">
        <v>1208.45</v>
      </c>
      <c r="J79" s="95"/>
      <c r="K79" s="146">
        <f t="shared" si="8"/>
        <v>3.3779949673200058E-3</v>
      </c>
      <c r="L79" s="17"/>
      <c r="M79" s="95"/>
      <c r="N79" s="134"/>
    </row>
    <row r="80" spans="1:14" s="7" customFormat="1" x14ac:dyDescent="0.25">
      <c r="A80" s="7" t="s">
        <v>782</v>
      </c>
      <c r="B80" s="7" t="s">
        <v>817</v>
      </c>
      <c r="C80" s="33" t="s">
        <v>124</v>
      </c>
      <c r="D80" s="10" t="s">
        <v>125</v>
      </c>
      <c r="E80" s="9" t="s">
        <v>26</v>
      </c>
      <c r="F80" s="209">
        <v>115.2</v>
      </c>
      <c r="G80" s="13">
        <v>18.670000000000002</v>
      </c>
      <c r="I80" s="95">
        <v>2150.7800000000002</v>
      </c>
      <c r="J80" s="95"/>
      <c r="K80" s="146">
        <f t="shared" si="8"/>
        <v>6.0121014653585362E-3</v>
      </c>
      <c r="L80" s="17"/>
      <c r="M80" s="95"/>
      <c r="N80" s="134"/>
    </row>
    <row r="81" spans="1:14" s="7" customFormat="1" x14ac:dyDescent="0.25">
      <c r="A81" s="7" t="s">
        <v>782</v>
      </c>
      <c r="C81" s="32" t="s">
        <v>126</v>
      </c>
      <c r="D81" s="8" t="s">
        <v>69</v>
      </c>
      <c r="E81" s="9"/>
      <c r="F81" s="209"/>
      <c r="G81" s="13"/>
      <c r="I81" s="109"/>
      <c r="J81" s="109">
        <f>I82+I84</f>
        <v>8552.9500000000007</v>
      </c>
      <c r="K81" s="149">
        <f t="shared" si="7"/>
        <v>2.3908165050883071E-2</v>
      </c>
      <c r="L81" s="16"/>
      <c r="M81" s="109"/>
      <c r="N81" s="133"/>
    </row>
    <row r="82" spans="1:14" s="7" customFormat="1" x14ac:dyDescent="0.25">
      <c r="A82" s="7" t="s">
        <v>782</v>
      </c>
      <c r="C82" s="32" t="s">
        <v>127</v>
      </c>
      <c r="D82" s="8" t="s">
        <v>71</v>
      </c>
      <c r="E82" s="9"/>
      <c r="F82" s="209"/>
      <c r="G82" s="13"/>
      <c r="I82" s="109">
        <f>I83</f>
        <v>4277</v>
      </c>
      <c r="J82" s="109"/>
      <c r="K82" s="146">
        <f>I82/$M$67</f>
        <v>1.1955550064320133E-2</v>
      </c>
      <c r="L82" s="16"/>
      <c r="M82" s="109"/>
      <c r="N82" s="133"/>
    </row>
    <row r="83" spans="1:14" s="7" customFormat="1" ht="22.5" x14ac:dyDescent="0.25">
      <c r="A83" s="7" t="s">
        <v>782</v>
      </c>
      <c r="B83" s="260" t="s">
        <v>818</v>
      </c>
      <c r="C83" s="33" t="s">
        <v>128</v>
      </c>
      <c r="D83" s="10" t="s">
        <v>73</v>
      </c>
      <c r="E83" s="9" t="s">
        <v>57</v>
      </c>
      <c r="F83" s="209">
        <v>140</v>
      </c>
      <c r="G83" s="13">
        <v>30.55</v>
      </c>
      <c r="I83" s="95">
        <v>4277</v>
      </c>
      <c r="J83" s="95"/>
      <c r="K83" s="146">
        <f t="shared" ref="K83:K85" si="9">I83/$M$67</f>
        <v>1.1955550064320133E-2</v>
      </c>
      <c r="L83" s="17"/>
      <c r="M83" s="95"/>
      <c r="N83" s="134"/>
    </row>
    <row r="84" spans="1:14" s="7" customFormat="1" x14ac:dyDescent="0.25">
      <c r="A84" s="7" t="s">
        <v>782</v>
      </c>
      <c r="C84" s="32" t="s">
        <v>129</v>
      </c>
      <c r="D84" s="8" t="s">
        <v>75</v>
      </c>
      <c r="E84" s="9"/>
      <c r="F84" s="209"/>
      <c r="G84" s="13"/>
      <c r="I84" s="109">
        <f>I85</f>
        <v>4275.95</v>
      </c>
      <c r="J84" s="109"/>
      <c r="K84" s="146">
        <f t="shared" si="9"/>
        <v>1.1952614986562934E-2</v>
      </c>
      <c r="L84" s="16"/>
      <c r="M84" s="109"/>
      <c r="N84" s="133"/>
    </row>
    <row r="85" spans="1:14" s="7" customFormat="1" ht="25.5" x14ac:dyDescent="0.25">
      <c r="A85" s="7" t="s">
        <v>782</v>
      </c>
      <c r="B85" s="260" t="s">
        <v>819</v>
      </c>
      <c r="C85" s="33" t="s">
        <v>130</v>
      </c>
      <c r="D85" s="10" t="s">
        <v>77</v>
      </c>
      <c r="E85" s="9" t="s">
        <v>26</v>
      </c>
      <c r="F85" s="209">
        <v>2.5</v>
      </c>
      <c r="G85" s="13">
        <v>1710.38</v>
      </c>
      <c r="I85" s="95">
        <v>4275.95</v>
      </c>
      <c r="J85" s="95"/>
      <c r="K85" s="146">
        <f t="shared" si="9"/>
        <v>1.1952614986562934E-2</v>
      </c>
      <c r="L85" s="17"/>
      <c r="M85" s="95"/>
      <c r="N85" s="134"/>
    </row>
    <row r="86" spans="1:14" s="7" customFormat="1" x14ac:dyDescent="0.25">
      <c r="C86" s="33"/>
      <c r="D86" s="10"/>
      <c r="E86" s="9"/>
      <c r="F86" s="209"/>
      <c r="G86" s="13"/>
      <c r="I86" s="95"/>
      <c r="J86" s="95"/>
      <c r="K86" s="251"/>
      <c r="L86" s="13"/>
      <c r="M86" s="95"/>
      <c r="N86" s="134"/>
    </row>
    <row r="87" spans="1:14" s="7" customFormat="1" x14ac:dyDescent="0.25">
      <c r="A87" s="7" t="s">
        <v>783</v>
      </c>
      <c r="C87" s="32">
        <v>4</v>
      </c>
      <c r="D87" s="8" t="s">
        <v>131</v>
      </c>
      <c r="E87" s="9"/>
      <c r="F87" s="209"/>
      <c r="G87" s="13"/>
      <c r="I87" s="109"/>
      <c r="J87" s="135"/>
      <c r="K87" s="250"/>
      <c r="M87" s="109">
        <f>SUM(J88:J123)</f>
        <v>171290.91</v>
      </c>
      <c r="N87" s="136">
        <f>M87/$I$177</f>
        <v>8.9884812403616315E-2</v>
      </c>
    </row>
    <row r="88" spans="1:14" s="7" customFormat="1" x14ac:dyDescent="0.25">
      <c r="A88" s="7" t="s">
        <v>783</v>
      </c>
      <c r="C88" s="32" t="s">
        <v>132</v>
      </c>
      <c r="D88" s="8" t="s">
        <v>15</v>
      </c>
      <c r="E88" s="9"/>
      <c r="F88" s="209"/>
      <c r="G88" s="13"/>
      <c r="I88" s="109"/>
      <c r="J88" s="109">
        <f>I89</f>
        <v>1646.0900000000001</v>
      </c>
      <c r="K88" s="149">
        <f>J88/$M$87</f>
        <v>9.6099086635712313E-3</v>
      </c>
      <c r="L88" s="16"/>
      <c r="M88" s="109"/>
      <c r="N88" s="133"/>
    </row>
    <row r="89" spans="1:14" s="7" customFormat="1" x14ac:dyDescent="0.25">
      <c r="A89" s="7" t="s">
        <v>783</v>
      </c>
      <c r="C89" s="32" t="s">
        <v>133</v>
      </c>
      <c r="D89" s="8" t="s">
        <v>17</v>
      </c>
      <c r="E89" s="9"/>
      <c r="F89" s="209"/>
      <c r="G89" s="13"/>
      <c r="I89" s="109">
        <f>SUM(I90:I93)</f>
        <v>1646.0900000000001</v>
      </c>
      <c r="J89" s="109"/>
      <c r="K89" s="146">
        <f>I89/$M$87</f>
        <v>9.6099086635712313E-3</v>
      </c>
      <c r="L89" s="16"/>
      <c r="M89" s="109"/>
      <c r="N89" s="133"/>
    </row>
    <row r="90" spans="1:14" s="7" customFormat="1" x14ac:dyDescent="0.25">
      <c r="A90" s="7" t="s">
        <v>783</v>
      </c>
      <c r="B90" s="260" t="s">
        <v>787</v>
      </c>
      <c r="C90" s="33" t="s">
        <v>134</v>
      </c>
      <c r="D90" s="10" t="s">
        <v>19</v>
      </c>
      <c r="E90" s="9" t="s">
        <v>20</v>
      </c>
      <c r="F90" s="209">
        <v>60</v>
      </c>
      <c r="G90" s="13">
        <v>4.38</v>
      </c>
      <c r="I90" s="95">
        <v>262.8</v>
      </c>
      <c r="J90" s="95"/>
      <c r="K90" s="146">
        <f t="shared" ref="K90:K93" si="10">I90/$M$87</f>
        <v>1.5342320266732194E-3</v>
      </c>
      <c r="L90" s="17"/>
      <c r="M90" s="95"/>
      <c r="N90" s="134"/>
    </row>
    <row r="91" spans="1:14" s="7" customFormat="1" x14ac:dyDescent="0.25">
      <c r="A91" s="7" t="s">
        <v>783</v>
      </c>
      <c r="B91" s="265" t="s">
        <v>788</v>
      </c>
      <c r="C91" s="33" t="s">
        <v>135</v>
      </c>
      <c r="D91" s="10" t="s">
        <v>22</v>
      </c>
      <c r="E91" s="9" t="s">
        <v>23</v>
      </c>
      <c r="F91" s="209">
        <v>1.5</v>
      </c>
      <c r="G91" s="13">
        <v>217.25</v>
      </c>
      <c r="I91" s="95">
        <v>325.88</v>
      </c>
      <c r="J91" s="95"/>
      <c r="K91" s="146">
        <f t="shared" si="10"/>
        <v>1.9024944172460756E-3</v>
      </c>
      <c r="L91" s="17"/>
      <c r="M91" s="95"/>
      <c r="N91" s="134"/>
    </row>
    <row r="92" spans="1:14" s="7" customFormat="1" x14ac:dyDescent="0.25">
      <c r="A92" s="7" t="s">
        <v>783</v>
      </c>
      <c r="B92" s="260" t="s">
        <v>789</v>
      </c>
      <c r="C92" s="33" t="s">
        <v>136</v>
      </c>
      <c r="D92" s="10" t="s">
        <v>25</v>
      </c>
      <c r="E92" s="9" t="s">
        <v>26</v>
      </c>
      <c r="F92" s="209">
        <v>18</v>
      </c>
      <c r="G92" s="13">
        <v>17.54</v>
      </c>
      <c r="I92" s="95">
        <v>315.72000000000003</v>
      </c>
      <c r="J92" s="95"/>
      <c r="K92" s="146">
        <f t="shared" si="10"/>
        <v>1.8431801197156348E-3</v>
      </c>
      <c r="L92" s="17"/>
      <c r="M92" s="95"/>
      <c r="N92" s="134"/>
    </row>
    <row r="93" spans="1:14" s="7" customFormat="1" ht="22.5" x14ac:dyDescent="0.25">
      <c r="A93" s="7" t="s">
        <v>783</v>
      </c>
      <c r="B93" s="261" t="s">
        <v>790</v>
      </c>
      <c r="C93" s="33" t="s">
        <v>137</v>
      </c>
      <c r="D93" s="10" t="s">
        <v>28</v>
      </c>
      <c r="E93" s="9" t="s">
        <v>29</v>
      </c>
      <c r="F93" s="209">
        <v>361.8</v>
      </c>
      <c r="G93" s="13">
        <v>2.0499999999999998</v>
      </c>
      <c r="I93" s="95">
        <v>741.69</v>
      </c>
      <c r="J93" s="95"/>
      <c r="K93" s="146">
        <f t="shared" si="10"/>
        <v>4.3300020999363018E-3</v>
      </c>
      <c r="L93" s="17"/>
      <c r="M93" s="95"/>
      <c r="N93" s="134"/>
    </row>
    <row r="94" spans="1:14" s="7" customFormat="1" x14ac:dyDescent="0.25">
      <c r="A94" s="7" t="s">
        <v>783</v>
      </c>
      <c r="C94" s="266" t="s">
        <v>138</v>
      </c>
      <c r="D94" s="267" t="s">
        <v>31</v>
      </c>
      <c r="E94" s="268"/>
      <c r="F94" s="269"/>
      <c r="G94" s="270"/>
      <c r="H94" s="271"/>
      <c r="I94" s="272"/>
      <c r="J94" s="272">
        <f>I95+I99</f>
        <v>167665.52000000002</v>
      </c>
      <c r="K94" s="149">
        <f t="shared" ref="K94:K119" si="11">J94/$M$87</f>
        <v>0.97883489555867276</v>
      </c>
      <c r="L94" s="16"/>
      <c r="M94" s="109"/>
      <c r="N94" s="133"/>
    </row>
    <row r="95" spans="1:14" s="7" customFormat="1" x14ac:dyDescent="0.25">
      <c r="A95" s="7" t="s">
        <v>783</v>
      </c>
      <c r="C95" s="266" t="s">
        <v>139</v>
      </c>
      <c r="D95" s="267" t="s">
        <v>119</v>
      </c>
      <c r="E95" s="268"/>
      <c r="F95" s="269"/>
      <c r="G95" s="270"/>
      <c r="H95" s="271"/>
      <c r="I95" s="272">
        <f>SUM(I96:I98)</f>
        <v>904.07</v>
      </c>
      <c r="J95" s="272"/>
      <c r="K95" s="146">
        <f>I95/$M$87</f>
        <v>5.2779800165694722E-3</v>
      </c>
      <c r="L95" s="16"/>
      <c r="M95" s="109"/>
      <c r="N95" s="133"/>
    </row>
    <row r="96" spans="1:14" s="7" customFormat="1" x14ac:dyDescent="0.25">
      <c r="A96" s="7" t="s">
        <v>783</v>
      </c>
      <c r="C96" s="273" t="s">
        <v>140</v>
      </c>
      <c r="D96" s="274" t="s">
        <v>121</v>
      </c>
      <c r="E96" s="268" t="s">
        <v>26</v>
      </c>
      <c r="F96" s="269">
        <v>10.8</v>
      </c>
      <c r="G96" s="270">
        <v>78.849999999999994</v>
      </c>
      <c r="H96" s="271"/>
      <c r="I96" s="275">
        <v>851.58</v>
      </c>
      <c r="J96" s="275"/>
      <c r="K96" s="146">
        <f t="shared" ref="K96:K118" si="12">I96/$M$87</f>
        <v>4.9715422727335621E-3</v>
      </c>
      <c r="L96" s="17"/>
      <c r="M96" s="95"/>
      <c r="N96" s="134"/>
    </row>
    <row r="97" spans="1:14" s="7" customFormat="1" x14ac:dyDescent="0.25">
      <c r="A97" s="7" t="s">
        <v>783</v>
      </c>
      <c r="C97" s="273" t="s">
        <v>141</v>
      </c>
      <c r="D97" s="274" t="s">
        <v>123</v>
      </c>
      <c r="E97" s="268" t="s">
        <v>26</v>
      </c>
      <c r="F97" s="269">
        <v>1.8</v>
      </c>
      <c r="G97" s="270">
        <v>10.49</v>
      </c>
      <c r="H97" s="271"/>
      <c r="I97" s="275">
        <v>18.88</v>
      </c>
      <c r="J97" s="275"/>
      <c r="K97" s="146">
        <f t="shared" si="12"/>
        <v>1.1022184422979596E-4</v>
      </c>
      <c r="L97" s="17"/>
      <c r="M97" s="95"/>
      <c r="N97" s="134"/>
    </row>
    <row r="98" spans="1:14" s="7" customFormat="1" x14ac:dyDescent="0.25">
      <c r="A98" s="7" t="s">
        <v>783</v>
      </c>
      <c r="C98" s="273" t="s">
        <v>142</v>
      </c>
      <c r="D98" s="274" t="s">
        <v>125</v>
      </c>
      <c r="E98" s="268" t="s">
        <v>26</v>
      </c>
      <c r="F98" s="269">
        <v>1.8</v>
      </c>
      <c r="G98" s="270">
        <v>18.670000000000002</v>
      </c>
      <c r="H98" s="271"/>
      <c r="I98" s="275">
        <v>33.61</v>
      </c>
      <c r="J98" s="275"/>
      <c r="K98" s="146">
        <f t="shared" si="12"/>
        <v>1.9621589960611453E-4</v>
      </c>
      <c r="L98" s="17"/>
      <c r="M98" s="95"/>
      <c r="N98" s="134"/>
    </row>
    <row r="99" spans="1:14" s="7" customFormat="1" x14ac:dyDescent="0.25">
      <c r="A99" s="7" t="s">
        <v>783</v>
      </c>
      <c r="C99" s="32" t="s">
        <v>143</v>
      </c>
      <c r="D99" s="8" t="s">
        <v>144</v>
      </c>
      <c r="E99" s="9"/>
      <c r="F99" s="209"/>
      <c r="G99" s="13"/>
      <c r="I99" s="109">
        <f>I100+I106</f>
        <v>166761.45000000001</v>
      </c>
      <c r="J99" s="135"/>
      <c r="K99" s="146">
        <f t="shared" si="12"/>
        <v>0.97355691554210322</v>
      </c>
      <c r="L99" s="51"/>
      <c r="M99" s="135"/>
      <c r="N99" s="133"/>
    </row>
    <row r="100" spans="1:14" s="7" customFormat="1" x14ac:dyDescent="0.25">
      <c r="A100" s="7" t="s">
        <v>783</v>
      </c>
      <c r="C100" s="32" t="s">
        <v>145</v>
      </c>
      <c r="D100" s="8" t="s">
        <v>146</v>
      </c>
      <c r="E100" s="9"/>
      <c r="F100" s="209"/>
      <c r="G100" s="13"/>
      <c r="I100" s="109">
        <f>SUM(I101:I105)</f>
        <v>76913.209999999992</v>
      </c>
      <c r="J100" s="109"/>
      <c r="K100" s="146">
        <f t="shared" si="12"/>
        <v>0.44902096672847375</v>
      </c>
      <c r="L100" s="16"/>
      <c r="M100" s="109"/>
      <c r="N100" s="133"/>
    </row>
    <row r="101" spans="1:14" s="7" customFormat="1" ht="25.5" x14ac:dyDescent="0.25">
      <c r="A101" s="7" t="s">
        <v>783</v>
      </c>
      <c r="C101" s="33" t="s">
        <v>147</v>
      </c>
      <c r="D101" s="10" t="s">
        <v>148</v>
      </c>
      <c r="E101" s="9" t="s">
        <v>149</v>
      </c>
      <c r="F101" s="209">
        <v>91.8</v>
      </c>
      <c r="G101" s="13">
        <v>238.49</v>
      </c>
      <c r="I101" s="95">
        <v>21893.38</v>
      </c>
      <c r="J101" s="95"/>
      <c r="K101" s="146">
        <f t="shared" si="12"/>
        <v>0.12781402118769758</v>
      </c>
      <c r="L101" s="17"/>
      <c r="M101" s="95"/>
      <c r="N101" s="134"/>
    </row>
    <row r="102" spans="1:14" s="7" customFormat="1" ht="25.5" x14ac:dyDescent="0.25">
      <c r="A102" s="7" t="s">
        <v>783</v>
      </c>
      <c r="C102" s="33" t="s">
        <v>150</v>
      </c>
      <c r="D102" s="10" t="s">
        <v>151</v>
      </c>
      <c r="E102" s="9" t="s">
        <v>57</v>
      </c>
      <c r="F102" s="209">
        <v>162</v>
      </c>
      <c r="G102" s="13">
        <v>337.82</v>
      </c>
      <c r="I102" s="95">
        <v>54726.84</v>
      </c>
      <c r="J102" s="95"/>
      <c r="K102" s="146">
        <f t="shared" si="12"/>
        <v>0.31949646364772066</v>
      </c>
      <c r="L102" s="17"/>
      <c r="M102" s="95"/>
      <c r="N102" s="134"/>
    </row>
    <row r="103" spans="1:14" s="7" customFormat="1" x14ac:dyDescent="0.25">
      <c r="A103" s="7" t="s">
        <v>783</v>
      </c>
      <c r="C103" s="33" t="s">
        <v>152</v>
      </c>
      <c r="D103" s="10" t="s">
        <v>153</v>
      </c>
      <c r="E103" s="9" t="s">
        <v>154</v>
      </c>
      <c r="F103" s="209">
        <v>310.5</v>
      </c>
      <c r="G103" s="13">
        <v>0.76</v>
      </c>
      <c r="I103" s="95">
        <v>235.98</v>
      </c>
      <c r="J103" s="95"/>
      <c r="K103" s="146">
        <f t="shared" si="12"/>
        <v>1.3776562924442399E-3</v>
      </c>
      <c r="L103" s="17"/>
      <c r="M103" s="95"/>
      <c r="N103" s="134"/>
    </row>
    <row r="104" spans="1:14" s="7" customFormat="1" x14ac:dyDescent="0.25">
      <c r="A104" s="7" t="s">
        <v>783</v>
      </c>
      <c r="C104" s="33" t="s">
        <v>155</v>
      </c>
      <c r="D104" s="10" t="s">
        <v>123</v>
      </c>
      <c r="E104" s="9" t="s">
        <v>26</v>
      </c>
      <c r="F104" s="209">
        <v>5.4</v>
      </c>
      <c r="G104" s="13">
        <v>10.49</v>
      </c>
      <c r="I104" s="95">
        <v>56.65</v>
      </c>
      <c r="J104" s="95"/>
      <c r="K104" s="146">
        <f t="shared" si="12"/>
        <v>3.3072391290349265E-4</v>
      </c>
      <c r="L104" s="17"/>
      <c r="M104" s="95"/>
      <c r="N104" s="134"/>
    </row>
    <row r="105" spans="1:14" s="7" customFormat="1" ht="25.5" x14ac:dyDescent="0.25">
      <c r="A105" s="7" t="s">
        <v>783</v>
      </c>
      <c r="C105" s="33" t="s">
        <v>156</v>
      </c>
      <c r="D105" s="10" t="s">
        <v>157</v>
      </c>
      <c r="E105" s="9" t="s">
        <v>158</v>
      </c>
      <c r="F105" s="209">
        <v>0.43</v>
      </c>
      <c r="G105" s="13">
        <v>0.83</v>
      </c>
      <c r="I105" s="95">
        <v>0.36</v>
      </c>
      <c r="J105" s="95"/>
      <c r="K105" s="146">
        <f t="shared" si="12"/>
        <v>2.1016877077715332E-6</v>
      </c>
      <c r="L105" s="17"/>
      <c r="M105" s="95"/>
      <c r="N105" s="134"/>
    </row>
    <row r="106" spans="1:14" s="7" customFormat="1" x14ac:dyDescent="0.25">
      <c r="A106" s="7" t="s">
        <v>783</v>
      </c>
      <c r="C106" s="32" t="s">
        <v>159</v>
      </c>
      <c r="D106" s="8" t="s">
        <v>160</v>
      </c>
      <c r="E106" s="9"/>
      <c r="F106" s="209"/>
      <c r="G106" s="13"/>
      <c r="I106" s="109">
        <f>SUM(I107:I118)</f>
        <v>89848.24000000002</v>
      </c>
      <c r="J106" s="109"/>
      <c r="K106" s="146">
        <f t="shared" si="12"/>
        <v>0.52453594881362953</v>
      </c>
      <c r="L106" s="16"/>
      <c r="M106" s="109"/>
      <c r="N106" s="133"/>
    </row>
    <row r="107" spans="1:14" s="7" customFormat="1" ht="25.5" x14ac:dyDescent="0.25">
      <c r="A107" s="7" t="s">
        <v>783</v>
      </c>
      <c r="C107" s="33" t="s">
        <v>161</v>
      </c>
      <c r="D107" s="10" t="s">
        <v>162</v>
      </c>
      <c r="E107" s="9" t="s">
        <v>20</v>
      </c>
      <c r="F107" s="209">
        <v>27</v>
      </c>
      <c r="G107" s="13">
        <v>42.99</v>
      </c>
      <c r="I107" s="95">
        <v>1160.73</v>
      </c>
      <c r="J107" s="95"/>
      <c r="K107" s="146">
        <f t="shared" si="12"/>
        <v>6.776366591782366E-3</v>
      </c>
      <c r="L107" s="17"/>
      <c r="M107" s="95"/>
      <c r="N107" s="134"/>
    </row>
    <row r="108" spans="1:14" s="7" customFormat="1" x14ac:dyDescent="0.25">
      <c r="A108" s="7" t="s">
        <v>783</v>
      </c>
      <c r="C108" s="33" t="s">
        <v>163</v>
      </c>
      <c r="D108" s="10" t="s">
        <v>164</v>
      </c>
      <c r="E108" s="9" t="s">
        <v>42</v>
      </c>
      <c r="F108" s="209">
        <v>1620</v>
      </c>
      <c r="G108" s="13">
        <v>13.5</v>
      </c>
      <c r="I108" s="95">
        <v>21870</v>
      </c>
      <c r="J108" s="95"/>
      <c r="K108" s="146">
        <f t="shared" si="12"/>
        <v>0.12767752824712064</v>
      </c>
      <c r="L108" s="17"/>
      <c r="M108" s="95"/>
      <c r="N108" s="134"/>
    </row>
    <row r="109" spans="1:14" s="7" customFormat="1" x14ac:dyDescent="0.25">
      <c r="A109" s="7" t="s">
        <v>783</v>
      </c>
      <c r="C109" s="33" t="s">
        <v>165</v>
      </c>
      <c r="D109" s="10" t="s">
        <v>166</v>
      </c>
      <c r="E109" s="9" t="s">
        <v>42</v>
      </c>
      <c r="F109" s="209">
        <v>2700</v>
      </c>
      <c r="G109" s="13">
        <v>10.35</v>
      </c>
      <c r="I109" s="95">
        <v>27945</v>
      </c>
      <c r="J109" s="95"/>
      <c r="K109" s="146">
        <f t="shared" si="12"/>
        <v>0.16314350831576527</v>
      </c>
      <c r="L109" s="17"/>
      <c r="M109" s="95"/>
      <c r="N109" s="134"/>
    </row>
    <row r="110" spans="1:14" s="7" customFormat="1" x14ac:dyDescent="0.25">
      <c r="A110" s="7" t="s">
        <v>783</v>
      </c>
      <c r="C110" s="33" t="s">
        <v>167</v>
      </c>
      <c r="D110" s="10" t="s">
        <v>168</v>
      </c>
      <c r="E110" s="9" t="s">
        <v>26</v>
      </c>
      <c r="F110" s="209">
        <v>40.5</v>
      </c>
      <c r="G110" s="13">
        <v>648.51</v>
      </c>
      <c r="I110" s="95">
        <v>26264.65</v>
      </c>
      <c r="J110" s="95"/>
      <c r="K110" s="146">
        <f t="shared" si="12"/>
        <v>0.15333358903867111</v>
      </c>
      <c r="L110" s="17"/>
      <c r="M110" s="95"/>
      <c r="N110" s="134"/>
    </row>
    <row r="111" spans="1:14" s="7" customFormat="1" ht="25.5" x14ac:dyDescent="0.25">
      <c r="A111" s="7" t="s">
        <v>783</v>
      </c>
      <c r="C111" s="33" t="s">
        <v>169</v>
      </c>
      <c r="D111" s="10" t="s">
        <v>170</v>
      </c>
      <c r="E111" s="9" t="s">
        <v>57</v>
      </c>
      <c r="F111" s="209">
        <v>8.1</v>
      </c>
      <c r="G111" s="13">
        <v>73.319999999999993</v>
      </c>
      <c r="I111" s="95">
        <v>593.89</v>
      </c>
      <c r="J111" s="95"/>
      <c r="K111" s="146">
        <f t="shared" si="12"/>
        <v>3.4671425354678774E-3</v>
      </c>
      <c r="L111" s="17"/>
      <c r="M111" s="95"/>
      <c r="N111" s="134"/>
    </row>
    <row r="112" spans="1:14" s="7" customFormat="1" ht="25.5" x14ac:dyDescent="0.25">
      <c r="A112" s="7" t="s">
        <v>783</v>
      </c>
      <c r="C112" s="33" t="s">
        <v>171</v>
      </c>
      <c r="D112" s="10" t="s">
        <v>172</v>
      </c>
      <c r="E112" s="9" t="s">
        <v>57</v>
      </c>
      <c r="F112" s="209">
        <v>18.899999999999999</v>
      </c>
      <c r="G112" s="13">
        <v>100.93</v>
      </c>
      <c r="I112" s="95">
        <v>1907.58</v>
      </c>
      <c r="J112" s="95"/>
      <c r="K112" s="146">
        <f t="shared" si="12"/>
        <v>1.1136492882196725E-2</v>
      </c>
      <c r="L112" s="17"/>
      <c r="M112" s="95"/>
      <c r="N112" s="134"/>
    </row>
    <row r="113" spans="1:14" s="7" customFormat="1" x14ac:dyDescent="0.25">
      <c r="A113" s="7" t="s">
        <v>783</v>
      </c>
      <c r="C113" s="33" t="s">
        <v>173</v>
      </c>
      <c r="D113" s="10" t="s">
        <v>174</v>
      </c>
      <c r="E113" s="9" t="s">
        <v>57</v>
      </c>
      <c r="F113" s="209">
        <v>13.5</v>
      </c>
      <c r="G113" s="13">
        <v>381.67</v>
      </c>
      <c r="I113" s="95">
        <v>5152.55</v>
      </c>
      <c r="J113" s="95"/>
      <c r="K113" s="146">
        <f t="shared" si="12"/>
        <v>3.0080697218550594E-2</v>
      </c>
      <c r="L113" s="17"/>
      <c r="M113" s="95"/>
      <c r="N113" s="134"/>
    </row>
    <row r="114" spans="1:14" s="7" customFormat="1" ht="25.5" x14ac:dyDescent="0.25">
      <c r="A114" s="7" t="s">
        <v>783</v>
      </c>
      <c r="C114" s="33" t="s">
        <v>175</v>
      </c>
      <c r="D114" s="10" t="s">
        <v>176</v>
      </c>
      <c r="E114" s="9" t="s">
        <v>149</v>
      </c>
      <c r="F114" s="209">
        <v>4.05</v>
      </c>
      <c r="G114" s="13">
        <v>7.22</v>
      </c>
      <c r="I114" s="95">
        <v>29.24</v>
      </c>
      <c r="J114" s="95"/>
      <c r="K114" s="146">
        <f t="shared" si="12"/>
        <v>1.7070374604233229E-4</v>
      </c>
      <c r="L114" s="17"/>
      <c r="M114" s="95"/>
      <c r="N114" s="134"/>
    </row>
    <row r="115" spans="1:14" s="7" customFormat="1" x14ac:dyDescent="0.25">
      <c r="A115" s="7" t="s">
        <v>783</v>
      </c>
      <c r="C115" s="33" t="s">
        <v>177</v>
      </c>
      <c r="D115" s="10" t="s">
        <v>178</v>
      </c>
      <c r="E115" s="9" t="s">
        <v>23</v>
      </c>
      <c r="F115" s="209">
        <v>40.5</v>
      </c>
      <c r="G115" s="13">
        <v>36.69</v>
      </c>
      <c r="I115" s="95">
        <v>1485.94</v>
      </c>
      <c r="J115" s="95"/>
      <c r="K115" s="146">
        <f t="shared" si="12"/>
        <v>8.674949534683422E-3</v>
      </c>
      <c r="L115" s="17"/>
      <c r="M115" s="95"/>
      <c r="N115" s="134"/>
    </row>
    <row r="116" spans="1:14" s="7" customFormat="1" x14ac:dyDescent="0.25">
      <c r="A116" s="7" t="s">
        <v>783</v>
      </c>
      <c r="C116" s="33" t="s">
        <v>179</v>
      </c>
      <c r="D116" s="10" t="s">
        <v>180</v>
      </c>
      <c r="E116" s="9" t="s">
        <v>23</v>
      </c>
      <c r="F116" s="209">
        <v>28.89</v>
      </c>
      <c r="G116" s="13">
        <v>29.6</v>
      </c>
      <c r="I116" s="95">
        <v>855.14</v>
      </c>
      <c r="J116" s="95"/>
      <c r="K116" s="146">
        <f t="shared" si="12"/>
        <v>4.9923256289548575E-3</v>
      </c>
      <c r="L116" s="17"/>
      <c r="M116" s="95"/>
      <c r="N116" s="134"/>
    </row>
    <row r="117" spans="1:14" s="7" customFormat="1" ht="25.5" x14ac:dyDescent="0.25">
      <c r="A117" s="7" t="s">
        <v>783</v>
      </c>
      <c r="C117" s="33" t="s">
        <v>181</v>
      </c>
      <c r="D117" s="10" t="s">
        <v>182</v>
      </c>
      <c r="E117" s="9" t="s">
        <v>26</v>
      </c>
      <c r="F117" s="209">
        <v>5.4</v>
      </c>
      <c r="G117" s="13">
        <v>218.93</v>
      </c>
      <c r="I117" s="95">
        <v>1182.22</v>
      </c>
      <c r="J117" s="95"/>
      <c r="K117" s="146">
        <f t="shared" si="12"/>
        <v>6.9018256718935056E-3</v>
      </c>
      <c r="L117" s="17"/>
      <c r="M117" s="95"/>
      <c r="N117" s="134"/>
    </row>
    <row r="118" spans="1:14" s="7" customFormat="1" ht="25.5" x14ac:dyDescent="0.25">
      <c r="A118" s="7" t="s">
        <v>783</v>
      </c>
      <c r="C118" s="33" t="s">
        <v>183</v>
      </c>
      <c r="D118" s="10" t="s">
        <v>184</v>
      </c>
      <c r="E118" s="9" t="s">
        <v>20</v>
      </c>
      <c r="F118" s="209">
        <v>54</v>
      </c>
      <c r="G118" s="13">
        <v>25.95</v>
      </c>
      <c r="I118" s="95">
        <v>1401.3</v>
      </c>
      <c r="J118" s="95"/>
      <c r="K118" s="146">
        <f t="shared" si="12"/>
        <v>8.1808194025006931E-3</v>
      </c>
      <c r="L118" s="17"/>
      <c r="M118" s="95"/>
      <c r="N118" s="134"/>
    </row>
    <row r="119" spans="1:14" s="7" customFormat="1" x14ac:dyDescent="0.25">
      <c r="A119" s="7" t="s">
        <v>783</v>
      </c>
      <c r="C119" s="32" t="s">
        <v>185</v>
      </c>
      <c r="D119" s="8" t="s">
        <v>69</v>
      </c>
      <c r="E119" s="9"/>
      <c r="F119" s="209"/>
      <c r="G119" s="13"/>
      <c r="I119" s="109"/>
      <c r="J119" s="109">
        <f>I120+I122</f>
        <v>1979.3</v>
      </c>
      <c r="K119" s="149">
        <f t="shared" si="11"/>
        <v>1.1555195777756098E-2</v>
      </c>
      <c r="L119" s="16"/>
      <c r="M119" s="109"/>
      <c r="N119" s="133"/>
    </row>
    <row r="120" spans="1:14" s="7" customFormat="1" x14ac:dyDescent="0.25">
      <c r="A120" s="7" t="s">
        <v>783</v>
      </c>
      <c r="C120" s="32" t="s">
        <v>186</v>
      </c>
      <c r="D120" s="8" t="s">
        <v>71</v>
      </c>
      <c r="E120" s="9"/>
      <c r="F120" s="209"/>
      <c r="G120" s="13"/>
      <c r="I120" s="109">
        <f>I121</f>
        <v>611</v>
      </c>
      <c r="J120" s="109"/>
      <c r="K120" s="146">
        <f>I120/$M$87</f>
        <v>3.5670310818011301E-3</v>
      </c>
      <c r="L120" s="16"/>
      <c r="M120" s="109"/>
      <c r="N120" s="133"/>
    </row>
    <row r="121" spans="1:14" s="7" customFormat="1" x14ac:dyDescent="0.25">
      <c r="A121" s="7" t="s">
        <v>783</v>
      </c>
      <c r="C121" s="33" t="s">
        <v>187</v>
      </c>
      <c r="D121" s="10" t="s">
        <v>73</v>
      </c>
      <c r="E121" s="9" t="s">
        <v>57</v>
      </c>
      <c r="F121" s="209">
        <v>20</v>
      </c>
      <c r="G121" s="13">
        <v>30.55</v>
      </c>
      <c r="I121" s="95">
        <v>611</v>
      </c>
      <c r="J121" s="95"/>
      <c r="K121" s="146">
        <f t="shared" ref="K121:K123" si="13">I121/$M$87</f>
        <v>3.5670310818011301E-3</v>
      </c>
      <c r="L121" s="17"/>
      <c r="M121" s="95"/>
      <c r="N121" s="134"/>
    </row>
    <row r="122" spans="1:14" s="7" customFormat="1" x14ac:dyDescent="0.25">
      <c r="A122" s="7" t="s">
        <v>783</v>
      </c>
      <c r="C122" s="32" t="s">
        <v>188</v>
      </c>
      <c r="D122" s="8" t="s">
        <v>75</v>
      </c>
      <c r="E122" s="9"/>
      <c r="F122" s="209"/>
      <c r="G122" s="13"/>
      <c r="I122" s="109">
        <f>I123</f>
        <v>1368.3</v>
      </c>
      <c r="J122" s="109"/>
      <c r="K122" s="146">
        <f t="shared" si="13"/>
        <v>7.988164695954968E-3</v>
      </c>
      <c r="L122" s="16"/>
      <c r="M122" s="109"/>
      <c r="N122" s="133"/>
    </row>
    <row r="123" spans="1:14" s="7" customFormat="1" ht="25.5" x14ac:dyDescent="0.25">
      <c r="A123" s="7" t="s">
        <v>783</v>
      </c>
      <c r="C123" s="33" t="s">
        <v>189</v>
      </c>
      <c r="D123" s="10" t="s">
        <v>77</v>
      </c>
      <c r="E123" s="9" t="s">
        <v>26</v>
      </c>
      <c r="F123" s="209">
        <v>0.8</v>
      </c>
      <c r="G123" s="13">
        <v>1710.38</v>
      </c>
      <c r="I123" s="95">
        <v>1368.3</v>
      </c>
      <c r="J123" s="95"/>
      <c r="K123" s="146">
        <f t="shared" si="13"/>
        <v>7.988164695954968E-3</v>
      </c>
      <c r="L123" s="17"/>
      <c r="M123" s="95"/>
      <c r="N123" s="134"/>
    </row>
    <row r="124" spans="1:14" s="7" customFormat="1" x14ac:dyDescent="0.25">
      <c r="C124" s="33"/>
      <c r="D124" s="10"/>
      <c r="E124" s="9"/>
      <c r="F124" s="209"/>
      <c r="G124" s="13"/>
      <c r="I124" s="95"/>
      <c r="J124" s="95"/>
      <c r="K124" s="251"/>
      <c r="L124" s="13"/>
      <c r="M124" s="95"/>
      <c r="N124" s="134"/>
    </row>
    <row r="125" spans="1:14" s="7" customFormat="1" x14ac:dyDescent="0.25">
      <c r="A125" s="7" t="s">
        <v>784</v>
      </c>
      <c r="C125" s="32">
        <v>5</v>
      </c>
      <c r="D125" s="8" t="s">
        <v>190</v>
      </c>
      <c r="E125" s="9"/>
      <c r="F125" s="209"/>
      <c r="G125" s="13"/>
      <c r="I125" s="109"/>
      <c r="J125" s="109"/>
      <c r="K125" s="252"/>
      <c r="L125" s="16"/>
      <c r="M125" s="109">
        <f>SUM(J125:J140)</f>
        <v>246744.40000000002</v>
      </c>
      <c r="N125" s="136">
        <f>M125/$I$177</f>
        <v>0.12947899048258232</v>
      </c>
    </row>
    <row r="126" spans="1:14" s="7" customFormat="1" x14ac:dyDescent="0.25">
      <c r="A126" s="7" t="s">
        <v>784</v>
      </c>
      <c r="C126" s="32" t="s">
        <v>191</v>
      </c>
      <c r="D126" s="8" t="s">
        <v>15</v>
      </c>
      <c r="E126" s="9"/>
      <c r="F126" s="209"/>
      <c r="G126" s="13"/>
      <c r="I126" s="109"/>
      <c r="J126" s="109">
        <f>I127+I132</f>
        <v>239205.42</v>
      </c>
      <c r="K126" s="149">
        <f>J126/$M$125</f>
        <v>0.96944619614467442</v>
      </c>
      <c r="L126" s="16"/>
      <c r="M126" s="109"/>
      <c r="N126" s="133"/>
    </row>
    <row r="127" spans="1:14" s="7" customFormat="1" x14ac:dyDescent="0.25">
      <c r="A127" s="7" t="s">
        <v>784</v>
      </c>
      <c r="C127" s="32" t="s">
        <v>192</v>
      </c>
      <c r="D127" s="8" t="s">
        <v>17</v>
      </c>
      <c r="E127" s="9"/>
      <c r="F127" s="209"/>
      <c r="G127" s="13"/>
      <c r="I127" s="109">
        <f>SUM(I128:I131)</f>
        <v>36844.870000000003</v>
      </c>
      <c r="J127" s="109"/>
      <c r="K127" s="146">
        <f>I127/$M$125</f>
        <v>0.14932403734390728</v>
      </c>
      <c r="L127" s="16"/>
      <c r="M127" s="109"/>
      <c r="N127" s="133"/>
    </row>
    <row r="128" spans="1:14" s="7" customFormat="1" x14ac:dyDescent="0.25">
      <c r="A128" s="7" t="s">
        <v>784</v>
      </c>
      <c r="C128" s="33" t="s">
        <v>193</v>
      </c>
      <c r="D128" s="10" t="s">
        <v>19</v>
      </c>
      <c r="E128" s="9" t="s">
        <v>20</v>
      </c>
      <c r="F128" s="209">
        <v>1343</v>
      </c>
      <c r="G128" s="13">
        <v>4.38</v>
      </c>
      <c r="I128" s="95">
        <v>5882.34</v>
      </c>
      <c r="J128" s="95"/>
      <c r="K128" s="146">
        <f t="shared" ref="K128:K135" si="14">I128/$M$125</f>
        <v>2.3839811562086109E-2</v>
      </c>
      <c r="L128" s="17"/>
      <c r="M128" s="95"/>
      <c r="N128" s="134"/>
    </row>
    <row r="129" spans="1:14" s="7" customFormat="1" x14ac:dyDescent="0.25">
      <c r="A129" s="7" t="s">
        <v>784</v>
      </c>
      <c r="C129" s="33" t="s">
        <v>194</v>
      </c>
      <c r="D129" s="10" t="s">
        <v>22</v>
      </c>
      <c r="E129" s="9" t="s">
        <v>23</v>
      </c>
      <c r="F129" s="209">
        <v>33.58</v>
      </c>
      <c r="G129" s="13">
        <v>217.25</v>
      </c>
      <c r="I129" s="95">
        <v>7294.17</v>
      </c>
      <c r="J129" s="95"/>
      <c r="K129" s="146">
        <f t="shared" si="14"/>
        <v>2.9561643546925479E-2</v>
      </c>
      <c r="L129" s="17"/>
      <c r="M129" s="95"/>
      <c r="N129" s="134"/>
    </row>
    <row r="130" spans="1:14" s="7" customFormat="1" x14ac:dyDescent="0.25">
      <c r="A130" s="7" t="s">
        <v>784</v>
      </c>
      <c r="C130" s="33" t="s">
        <v>195</v>
      </c>
      <c r="D130" s="10" t="s">
        <v>25</v>
      </c>
      <c r="E130" s="9" t="s">
        <v>26</v>
      </c>
      <c r="F130" s="209">
        <v>402.9</v>
      </c>
      <c r="G130" s="13">
        <v>17.54</v>
      </c>
      <c r="I130" s="95">
        <v>7066.87</v>
      </c>
      <c r="J130" s="95"/>
      <c r="K130" s="146">
        <f t="shared" si="14"/>
        <v>2.8640447361723304E-2</v>
      </c>
      <c r="L130" s="17"/>
      <c r="M130" s="95"/>
      <c r="N130" s="134"/>
    </row>
    <row r="131" spans="1:14" s="7" customFormat="1" x14ac:dyDescent="0.25">
      <c r="A131" s="7" t="s">
        <v>784</v>
      </c>
      <c r="C131" s="33" t="s">
        <v>196</v>
      </c>
      <c r="D131" s="10" t="s">
        <v>28</v>
      </c>
      <c r="E131" s="9" t="s">
        <v>29</v>
      </c>
      <c r="F131" s="209">
        <v>8098.29</v>
      </c>
      <c r="G131" s="13">
        <v>2.0499999999999998</v>
      </c>
      <c r="I131" s="95">
        <v>16601.490000000002</v>
      </c>
      <c r="J131" s="95"/>
      <c r="K131" s="146">
        <f t="shared" si="14"/>
        <v>6.7282134873172403E-2</v>
      </c>
      <c r="L131" s="17"/>
      <c r="M131" s="95"/>
      <c r="N131" s="134"/>
    </row>
    <row r="132" spans="1:14" s="7" customFormat="1" x14ac:dyDescent="0.25">
      <c r="A132" s="7" t="s">
        <v>784</v>
      </c>
      <c r="C132" s="32" t="s">
        <v>197</v>
      </c>
      <c r="D132" s="8" t="s">
        <v>119</v>
      </c>
      <c r="E132" s="9"/>
      <c r="F132" s="209"/>
      <c r="G132" s="13"/>
      <c r="I132" s="109">
        <f>SUM(I133:I135)</f>
        <v>202360.55000000002</v>
      </c>
      <c r="J132" s="109"/>
      <c r="K132" s="146">
        <f t="shared" si="14"/>
        <v>0.82012215880076711</v>
      </c>
      <c r="L132" s="16"/>
      <c r="M132" s="109"/>
      <c r="N132" s="133"/>
    </row>
    <row r="133" spans="1:14" s="7" customFormat="1" x14ac:dyDescent="0.25">
      <c r="A133" s="7" t="s">
        <v>784</v>
      </c>
      <c r="C133" s="33" t="s">
        <v>198</v>
      </c>
      <c r="D133" s="10" t="s">
        <v>121</v>
      </c>
      <c r="E133" s="9" t="s">
        <v>26</v>
      </c>
      <c r="F133" s="209">
        <v>2417.4</v>
      </c>
      <c r="G133" s="13">
        <v>78.849999999999994</v>
      </c>
      <c r="I133" s="95">
        <v>190611.99</v>
      </c>
      <c r="J133" s="95"/>
      <c r="K133" s="146">
        <f t="shared" si="14"/>
        <v>0.77250786643992719</v>
      </c>
      <c r="L133" s="17"/>
      <c r="M133" s="95"/>
      <c r="N133" s="134"/>
    </row>
    <row r="134" spans="1:14" s="7" customFormat="1" x14ac:dyDescent="0.25">
      <c r="A134" s="7" t="s">
        <v>784</v>
      </c>
      <c r="C134" s="33" t="s">
        <v>199</v>
      </c>
      <c r="D134" s="10" t="s">
        <v>123</v>
      </c>
      <c r="E134" s="9" t="s">
        <v>26</v>
      </c>
      <c r="F134" s="209">
        <v>402.9</v>
      </c>
      <c r="G134" s="13">
        <v>10.49</v>
      </c>
      <c r="I134" s="95">
        <v>4226.42</v>
      </c>
      <c r="J134" s="95"/>
      <c r="K134" s="146">
        <f t="shared" si="14"/>
        <v>1.7128737268201424E-2</v>
      </c>
      <c r="L134" s="17"/>
      <c r="M134" s="95"/>
      <c r="N134" s="134"/>
    </row>
    <row r="135" spans="1:14" s="7" customFormat="1" x14ac:dyDescent="0.25">
      <c r="A135" s="7" t="s">
        <v>784</v>
      </c>
      <c r="C135" s="33" t="s">
        <v>200</v>
      </c>
      <c r="D135" s="10" t="s">
        <v>125</v>
      </c>
      <c r="E135" s="9" t="s">
        <v>26</v>
      </c>
      <c r="F135" s="209">
        <v>402.9</v>
      </c>
      <c r="G135" s="13">
        <v>18.670000000000002</v>
      </c>
      <c r="I135" s="95">
        <v>7522.14</v>
      </c>
      <c r="J135" s="95"/>
      <c r="K135" s="146">
        <f t="shared" si="14"/>
        <v>3.0485555092638374E-2</v>
      </c>
      <c r="L135" s="17"/>
      <c r="M135" s="95"/>
      <c r="N135" s="134"/>
    </row>
    <row r="136" spans="1:14" s="7" customFormat="1" x14ac:dyDescent="0.25">
      <c r="A136" s="7" t="s">
        <v>784</v>
      </c>
      <c r="C136" s="32" t="s">
        <v>201</v>
      </c>
      <c r="D136" s="8" t="s">
        <v>69</v>
      </c>
      <c r="E136" s="9"/>
      <c r="F136" s="209"/>
      <c r="G136" s="13"/>
      <c r="I136" s="109"/>
      <c r="J136" s="109">
        <f>I137+I139</f>
        <v>7538.98</v>
      </c>
      <c r="K136" s="149">
        <f t="shared" ref="K136" si="15">J136/$M$125</f>
        <v>3.0553803855325589E-2</v>
      </c>
      <c r="L136" s="16"/>
      <c r="M136" s="109"/>
      <c r="N136" s="133"/>
    </row>
    <row r="137" spans="1:14" s="7" customFormat="1" x14ac:dyDescent="0.25">
      <c r="A137" s="7" t="s">
        <v>784</v>
      </c>
      <c r="C137" s="32" t="s">
        <v>202</v>
      </c>
      <c r="D137" s="8" t="s">
        <v>71</v>
      </c>
      <c r="E137" s="9"/>
      <c r="F137" s="209"/>
      <c r="G137" s="13"/>
      <c r="I137" s="109">
        <f>I138</f>
        <v>4460.3</v>
      </c>
      <c r="J137" s="109"/>
      <c r="K137" s="146">
        <f>I137/$M$125</f>
        <v>1.8076600725284948E-2</v>
      </c>
      <c r="L137" s="16"/>
      <c r="M137" s="109"/>
      <c r="N137" s="133"/>
    </row>
    <row r="138" spans="1:14" s="7" customFormat="1" x14ac:dyDescent="0.25">
      <c r="A138" s="7" t="s">
        <v>784</v>
      </c>
      <c r="C138" s="33" t="s">
        <v>203</v>
      </c>
      <c r="D138" s="10" t="s">
        <v>73</v>
      </c>
      <c r="E138" s="9" t="s">
        <v>57</v>
      </c>
      <c r="F138" s="209">
        <v>146</v>
      </c>
      <c r="G138" s="13">
        <v>30.55</v>
      </c>
      <c r="I138" s="95">
        <v>4460.3</v>
      </c>
      <c r="J138" s="95"/>
      <c r="K138" s="146">
        <f t="shared" ref="K138:K140" si="16">I138/$M$125</f>
        <v>1.8076600725284948E-2</v>
      </c>
      <c r="L138" s="17"/>
      <c r="M138" s="95"/>
      <c r="N138" s="134"/>
    </row>
    <row r="139" spans="1:14" s="7" customFormat="1" x14ac:dyDescent="0.25">
      <c r="A139" s="7" t="s">
        <v>784</v>
      </c>
      <c r="C139" s="32" t="s">
        <v>204</v>
      </c>
      <c r="D139" s="8" t="s">
        <v>75</v>
      </c>
      <c r="E139" s="9"/>
      <c r="F139" s="209"/>
      <c r="G139" s="13"/>
      <c r="I139" s="109">
        <f>I140</f>
        <v>3078.68</v>
      </c>
      <c r="J139" s="109"/>
      <c r="K139" s="146">
        <f t="shared" si="16"/>
        <v>1.2477203130040639E-2</v>
      </c>
      <c r="L139" s="16"/>
      <c r="M139" s="109"/>
      <c r="N139" s="133"/>
    </row>
    <row r="140" spans="1:14" s="7" customFormat="1" ht="26.25" thickBot="1" x14ac:dyDescent="0.3">
      <c r="A140" s="7" t="s">
        <v>784</v>
      </c>
      <c r="C140" s="34" t="s">
        <v>205</v>
      </c>
      <c r="D140" s="35" t="s">
        <v>77</v>
      </c>
      <c r="E140" s="36" t="s">
        <v>26</v>
      </c>
      <c r="F140" s="212">
        <v>1.8</v>
      </c>
      <c r="G140" s="37">
        <v>1710.38</v>
      </c>
      <c r="H140" s="38"/>
      <c r="I140" s="96">
        <v>3078.68</v>
      </c>
      <c r="J140" s="96"/>
      <c r="K140" s="151">
        <f t="shared" si="16"/>
        <v>1.2477203130040639E-2</v>
      </c>
      <c r="L140" s="39"/>
      <c r="M140" s="96"/>
      <c r="N140" s="137"/>
    </row>
    <row r="141" spans="1:14" s="7" customFormat="1" ht="15.75" thickBot="1" x14ac:dyDescent="0.3">
      <c r="C141" s="41"/>
      <c r="D141" s="41"/>
      <c r="E141" s="42"/>
      <c r="F141" s="210"/>
      <c r="G141" s="44"/>
      <c r="I141" s="97"/>
      <c r="J141" s="97"/>
      <c r="K141" s="253"/>
      <c r="L141" s="45"/>
      <c r="M141" s="97"/>
      <c r="N141" s="102"/>
    </row>
    <row r="142" spans="1:14" s="7" customFormat="1" x14ac:dyDescent="0.25">
      <c r="A142" s="7" t="s">
        <v>785</v>
      </c>
      <c r="C142" s="25">
        <v>6</v>
      </c>
      <c r="D142" s="26" t="s">
        <v>206</v>
      </c>
      <c r="E142" s="27"/>
      <c r="F142" s="211"/>
      <c r="G142" s="29"/>
      <c r="H142" s="30"/>
      <c r="I142" s="105"/>
      <c r="J142" s="105"/>
      <c r="K142" s="254"/>
      <c r="L142" s="31"/>
      <c r="M142" s="105">
        <f>SUM(J143:J175)</f>
        <v>496383.3</v>
      </c>
      <c r="N142" s="138">
        <v>1</v>
      </c>
    </row>
    <row r="143" spans="1:14" s="7" customFormat="1" x14ac:dyDescent="0.25">
      <c r="A143" s="7" t="s">
        <v>785</v>
      </c>
      <c r="C143" s="32" t="s">
        <v>207</v>
      </c>
      <c r="D143" s="8" t="s">
        <v>208</v>
      </c>
      <c r="E143" s="9"/>
      <c r="F143" s="209"/>
      <c r="G143" s="13"/>
      <c r="I143" s="109"/>
      <c r="J143" s="109">
        <f>I144+I146</f>
        <v>49097.71</v>
      </c>
      <c r="K143" s="149">
        <f>J143/$M$142</f>
        <v>9.8910881973668333E-2</v>
      </c>
      <c r="L143" s="16"/>
      <c r="M143" s="109"/>
      <c r="N143" s="133"/>
    </row>
    <row r="144" spans="1:14" s="7" customFormat="1" x14ac:dyDescent="0.25">
      <c r="A144" s="7" t="s">
        <v>785</v>
      </c>
      <c r="C144" s="32" t="s">
        <v>209</v>
      </c>
      <c r="D144" s="8" t="s">
        <v>71</v>
      </c>
      <c r="E144" s="9"/>
      <c r="F144" s="209"/>
      <c r="G144" s="13"/>
      <c r="I144" s="109">
        <f>I145</f>
        <v>15061.15</v>
      </c>
      <c r="J144" s="109"/>
      <c r="K144" s="146">
        <f>I144/$M$142</f>
        <v>3.0341774189421765E-2</v>
      </c>
      <c r="L144" s="16"/>
      <c r="M144" s="109"/>
      <c r="N144" s="133"/>
    </row>
    <row r="145" spans="1:14" s="7" customFormat="1" x14ac:dyDescent="0.25">
      <c r="A145" s="7" t="s">
        <v>785</v>
      </c>
      <c r="C145" s="33" t="s">
        <v>210</v>
      </c>
      <c r="D145" s="10" t="s">
        <v>73</v>
      </c>
      <c r="E145" s="9" t="s">
        <v>57</v>
      </c>
      <c r="F145" s="209">
        <v>493</v>
      </c>
      <c r="G145" s="13">
        <v>30.55</v>
      </c>
      <c r="I145" s="95">
        <v>15061.15</v>
      </c>
      <c r="J145" s="95"/>
      <c r="K145" s="146">
        <f t="shared" ref="K145:K147" si="17">I145/$M$142</f>
        <v>3.0341774189421765E-2</v>
      </c>
      <c r="L145" s="17"/>
      <c r="M145" s="95"/>
      <c r="N145" s="134"/>
    </row>
    <row r="146" spans="1:14" s="7" customFormat="1" x14ac:dyDescent="0.25">
      <c r="A146" s="7" t="s">
        <v>785</v>
      </c>
      <c r="C146" s="32" t="s">
        <v>211</v>
      </c>
      <c r="D146" s="8" t="s">
        <v>75</v>
      </c>
      <c r="E146" s="9"/>
      <c r="F146" s="209"/>
      <c r="G146" s="13"/>
      <c r="I146" s="109">
        <f>I147</f>
        <v>34036.559999999998</v>
      </c>
      <c r="J146" s="109"/>
      <c r="K146" s="146">
        <f t="shared" si="17"/>
        <v>6.8569107784246561E-2</v>
      </c>
      <c r="L146" s="16"/>
      <c r="M146" s="109"/>
      <c r="N146" s="133"/>
    </row>
    <row r="147" spans="1:14" s="7" customFormat="1" ht="25.5" x14ac:dyDescent="0.25">
      <c r="A147" s="7" t="s">
        <v>785</v>
      </c>
      <c r="C147" s="33" t="s">
        <v>212</v>
      </c>
      <c r="D147" s="10" t="s">
        <v>77</v>
      </c>
      <c r="E147" s="9" t="s">
        <v>26</v>
      </c>
      <c r="F147" s="209">
        <v>19.899999999999999</v>
      </c>
      <c r="G147" s="13">
        <v>1710.38</v>
      </c>
      <c r="I147" s="95">
        <v>34036.559999999998</v>
      </c>
      <c r="J147" s="95"/>
      <c r="K147" s="146">
        <f t="shared" si="17"/>
        <v>6.8569107784246561E-2</v>
      </c>
      <c r="L147" s="17"/>
      <c r="M147" s="95"/>
      <c r="N147" s="134"/>
    </row>
    <row r="148" spans="1:14" s="7" customFormat="1" x14ac:dyDescent="0.25">
      <c r="A148" s="7" t="s">
        <v>785</v>
      </c>
      <c r="C148" s="32" t="s">
        <v>214</v>
      </c>
      <c r="D148" s="8" t="s">
        <v>215</v>
      </c>
      <c r="E148" s="9"/>
      <c r="F148" s="209"/>
      <c r="G148" s="13"/>
      <c r="I148" s="109"/>
      <c r="J148" s="109">
        <f>I149+I151+I165</f>
        <v>429182.43</v>
      </c>
      <c r="K148" s="149">
        <f t="shared" ref="K148:K171" si="18">J148/$M$142</f>
        <v>0.86461899503871298</v>
      </c>
      <c r="L148" s="16"/>
      <c r="M148" s="109"/>
      <c r="N148" s="133"/>
    </row>
    <row r="149" spans="1:14" s="7" customFormat="1" x14ac:dyDescent="0.25">
      <c r="A149" s="7" t="s">
        <v>785</v>
      </c>
      <c r="C149" s="32" t="s">
        <v>216</v>
      </c>
      <c r="D149" s="8" t="s">
        <v>217</v>
      </c>
      <c r="E149" s="9"/>
      <c r="F149" s="209"/>
      <c r="G149" s="13"/>
      <c r="I149" s="109">
        <f>I150</f>
        <v>30369.17</v>
      </c>
      <c r="J149" s="109"/>
      <c r="K149" s="146">
        <f>I149/$M$142</f>
        <v>6.118088581948667E-2</v>
      </c>
      <c r="L149" s="16"/>
      <c r="M149" s="109"/>
      <c r="N149" s="133"/>
    </row>
    <row r="150" spans="1:14" s="7" customFormat="1" ht="25.5" x14ac:dyDescent="0.25">
      <c r="A150" s="7" t="s">
        <v>785</v>
      </c>
      <c r="C150" s="33" t="s">
        <v>820</v>
      </c>
      <c r="D150" s="10" t="s">
        <v>219</v>
      </c>
      <c r="E150" s="9" t="s">
        <v>26</v>
      </c>
      <c r="F150" s="209">
        <v>38.880000000000003</v>
      </c>
      <c r="G150" s="13">
        <v>781.1</v>
      </c>
      <c r="I150" s="95">
        <v>30369.17</v>
      </c>
      <c r="J150" s="95"/>
      <c r="K150" s="146">
        <f t="shared" ref="K150:K167" si="19">I150/$M$142</f>
        <v>6.118088581948667E-2</v>
      </c>
      <c r="L150" s="17"/>
      <c r="M150" s="95"/>
      <c r="N150" s="134"/>
    </row>
    <row r="151" spans="1:14" s="7" customFormat="1" x14ac:dyDescent="0.25">
      <c r="A151" s="7" t="s">
        <v>785</v>
      </c>
      <c r="C151" s="32" t="s">
        <v>220</v>
      </c>
      <c r="D151" s="8" t="s">
        <v>221</v>
      </c>
      <c r="E151" s="9"/>
      <c r="F151" s="209"/>
      <c r="G151" s="13"/>
      <c r="I151" s="109">
        <f>SUM(I152:I164)</f>
        <v>288290.39</v>
      </c>
      <c r="J151" s="109"/>
      <c r="K151" s="146">
        <f t="shared" si="19"/>
        <v>0.58078180712364824</v>
      </c>
      <c r="L151" s="16"/>
      <c r="M151" s="109"/>
      <c r="N151" s="133"/>
    </row>
    <row r="152" spans="1:14" s="7" customFormat="1" x14ac:dyDescent="0.25">
      <c r="A152" s="7" t="s">
        <v>785</v>
      </c>
      <c r="C152" s="33" t="s">
        <v>222</v>
      </c>
      <c r="D152" s="10" t="s">
        <v>223</v>
      </c>
      <c r="E152" s="9" t="s">
        <v>26</v>
      </c>
      <c r="F152" s="209">
        <v>23.7</v>
      </c>
      <c r="G152" s="13">
        <v>89.09</v>
      </c>
      <c r="I152" s="95">
        <v>2111.4299999999998</v>
      </c>
      <c r="J152" s="95"/>
      <c r="K152" s="146">
        <f t="shared" si="19"/>
        <v>4.2536281941797796E-3</v>
      </c>
      <c r="L152" s="17"/>
      <c r="M152" s="95"/>
      <c r="N152" s="134"/>
    </row>
    <row r="153" spans="1:14" s="7" customFormat="1" x14ac:dyDescent="0.25">
      <c r="A153" s="7" t="s">
        <v>785</v>
      </c>
      <c r="C153" s="33" t="s">
        <v>224</v>
      </c>
      <c r="D153" s="10" t="s">
        <v>225</v>
      </c>
      <c r="E153" s="9" t="s">
        <v>20</v>
      </c>
      <c r="F153" s="209">
        <v>11.85</v>
      </c>
      <c r="G153" s="13">
        <v>39.33</v>
      </c>
      <c r="I153" s="95">
        <v>466.06</v>
      </c>
      <c r="J153" s="95"/>
      <c r="K153" s="146">
        <f t="shared" si="19"/>
        <v>9.3891152260763009E-4</v>
      </c>
      <c r="L153" s="17"/>
      <c r="M153" s="95"/>
      <c r="N153" s="134"/>
    </row>
    <row r="154" spans="1:14" s="7" customFormat="1" x14ac:dyDescent="0.25">
      <c r="A154" s="7" t="s">
        <v>785</v>
      </c>
      <c r="C154" s="33" t="s">
        <v>226</v>
      </c>
      <c r="D154" s="10" t="s">
        <v>65</v>
      </c>
      <c r="E154" s="9" t="s">
        <v>42</v>
      </c>
      <c r="F154" s="209">
        <v>1422</v>
      </c>
      <c r="G154" s="13">
        <v>11.15</v>
      </c>
      <c r="I154" s="95">
        <v>15855.3</v>
      </c>
      <c r="J154" s="95"/>
      <c r="K154" s="146">
        <f t="shared" si="19"/>
        <v>3.1941646707292527E-2</v>
      </c>
      <c r="L154" s="17"/>
      <c r="M154" s="95"/>
      <c r="N154" s="134"/>
    </row>
    <row r="155" spans="1:14" s="7" customFormat="1" x14ac:dyDescent="0.25">
      <c r="A155" s="7" t="s">
        <v>785</v>
      </c>
      <c r="C155" s="33" t="s">
        <v>227</v>
      </c>
      <c r="D155" s="10" t="s">
        <v>228</v>
      </c>
      <c r="E155" s="9" t="s">
        <v>26</v>
      </c>
      <c r="F155" s="209">
        <v>23.7</v>
      </c>
      <c r="G155" s="13">
        <v>875.73</v>
      </c>
      <c r="I155" s="95">
        <v>20754.8</v>
      </c>
      <c r="J155" s="95"/>
      <c r="K155" s="146">
        <f t="shared" si="19"/>
        <v>4.181204323352538E-2</v>
      </c>
      <c r="L155" s="17"/>
      <c r="M155" s="95"/>
      <c r="N155" s="134"/>
    </row>
    <row r="156" spans="1:14" s="7" customFormat="1" ht="25.5" x14ac:dyDescent="0.25">
      <c r="A156" s="7" t="s">
        <v>785</v>
      </c>
      <c r="C156" s="33" t="s">
        <v>229</v>
      </c>
      <c r="D156" s="10" t="s">
        <v>230</v>
      </c>
      <c r="E156" s="9" t="s">
        <v>20</v>
      </c>
      <c r="F156" s="209">
        <v>81.77</v>
      </c>
      <c r="G156" s="13">
        <v>151.13</v>
      </c>
      <c r="I156" s="95">
        <v>12357.14</v>
      </c>
      <c r="J156" s="95"/>
      <c r="K156" s="146">
        <f t="shared" si="19"/>
        <v>2.4894350797055421E-2</v>
      </c>
      <c r="L156" s="17"/>
      <c r="M156" s="95"/>
      <c r="N156" s="134"/>
    </row>
    <row r="157" spans="1:14" s="7" customFormat="1" x14ac:dyDescent="0.25">
      <c r="A157" s="7" t="s">
        <v>785</v>
      </c>
      <c r="C157" s="33" t="s">
        <v>231</v>
      </c>
      <c r="D157" s="10" t="s">
        <v>232</v>
      </c>
      <c r="E157" s="9" t="s">
        <v>20</v>
      </c>
      <c r="F157" s="209">
        <v>56.88</v>
      </c>
      <c r="G157" s="13">
        <v>51.45</v>
      </c>
      <c r="I157" s="95">
        <v>2926.48</v>
      </c>
      <c r="J157" s="95"/>
      <c r="K157" s="146">
        <f t="shared" si="19"/>
        <v>5.8956052711684704E-3</v>
      </c>
      <c r="L157" s="17"/>
      <c r="M157" s="95"/>
      <c r="N157" s="134"/>
    </row>
    <row r="158" spans="1:14" s="7" customFormat="1" x14ac:dyDescent="0.25">
      <c r="A158" s="7" t="s">
        <v>785</v>
      </c>
      <c r="C158" s="33" t="s">
        <v>233</v>
      </c>
      <c r="D158" s="10" t="s">
        <v>234</v>
      </c>
      <c r="E158" s="9" t="s">
        <v>20</v>
      </c>
      <c r="F158" s="209">
        <v>195.53</v>
      </c>
      <c r="G158" s="13">
        <v>56.18</v>
      </c>
      <c r="I158" s="95">
        <v>10984.59</v>
      </c>
      <c r="J158" s="95"/>
      <c r="K158" s="146">
        <f t="shared" si="19"/>
        <v>2.212924971488767E-2</v>
      </c>
      <c r="L158" s="17"/>
      <c r="M158" s="95"/>
      <c r="N158" s="134"/>
    </row>
    <row r="159" spans="1:14" s="7" customFormat="1" x14ac:dyDescent="0.25">
      <c r="A159" s="7" t="s">
        <v>785</v>
      </c>
      <c r="C159" s="33" t="s">
        <v>235</v>
      </c>
      <c r="D159" s="10" t="s">
        <v>236</v>
      </c>
      <c r="E159" s="9" t="s">
        <v>42</v>
      </c>
      <c r="F159" s="209">
        <v>2976.72</v>
      </c>
      <c r="G159" s="13">
        <v>14.93</v>
      </c>
      <c r="I159" s="95">
        <v>44442.43</v>
      </c>
      <c r="J159" s="95"/>
      <c r="K159" s="146">
        <f t="shared" si="19"/>
        <v>8.9532484271731147E-2</v>
      </c>
      <c r="L159" s="17"/>
      <c r="M159" s="95"/>
      <c r="N159" s="134"/>
    </row>
    <row r="160" spans="1:14" s="7" customFormat="1" x14ac:dyDescent="0.25">
      <c r="A160" s="7" t="s">
        <v>785</v>
      </c>
      <c r="C160" s="33" t="s">
        <v>237</v>
      </c>
      <c r="D160" s="10" t="s">
        <v>238</v>
      </c>
      <c r="E160" s="9" t="s">
        <v>42</v>
      </c>
      <c r="F160" s="209">
        <v>2604.63</v>
      </c>
      <c r="G160" s="13">
        <v>14.32</v>
      </c>
      <c r="I160" s="95">
        <v>37298.300000000003</v>
      </c>
      <c r="J160" s="95"/>
      <c r="K160" s="146">
        <f t="shared" si="19"/>
        <v>7.5140118533399497E-2</v>
      </c>
      <c r="L160" s="17"/>
      <c r="M160" s="95"/>
      <c r="N160" s="134"/>
    </row>
    <row r="161" spans="1:14" s="7" customFormat="1" x14ac:dyDescent="0.25">
      <c r="A161" s="7" t="s">
        <v>785</v>
      </c>
      <c r="C161" s="33" t="s">
        <v>239</v>
      </c>
      <c r="D161" s="10" t="s">
        <v>240</v>
      </c>
      <c r="E161" s="9" t="s">
        <v>42</v>
      </c>
      <c r="F161" s="209">
        <v>1860.45</v>
      </c>
      <c r="G161" s="13">
        <v>10.039999999999999</v>
      </c>
      <c r="I161" s="95">
        <v>18678.919999999998</v>
      </c>
      <c r="J161" s="95"/>
      <c r="K161" s="146">
        <f t="shared" si="19"/>
        <v>3.7630033081290204E-2</v>
      </c>
      <c r="L161" s="17"/>
      <c r="M161" s="95"/>
      <c r="N161" s="134"/>
    </row>
    <row r="162" spans="1:14" s="7" customFormat="1" x14ac:dyDescent="0.25">
      <c r="A162" s="7" t="s">
        <v>785</v>
      </c>
      <c r="C162" s="33" t="s">
        <v>241</v>
      </c>
      <c r="D162" s="10" t="s">
        <v>242</v>
      </c>
      <c r="E162" s="9" t="s">
        <v>26</v>
      </c>
      <c r="F162" s="209">
        <v>4.74</v>
      </c>
      <c r="G162" s="13">
        <v>805.4</v>
      </c>
      <c r="I162" s="95">
        <v>3817.6</v>
      </c>
      <c r="J162" s="95"/>
      <c r="K162" s="146">
        <f t="shared" si="19"/>
        <v>7.6908308559131625E-3</v>
      </c>
      <c r="L162" s="17"/>
      <c r="M162" s="95"/>
      <c r="N162" s="134"/>
    </row>
    <row r="163" spans="1:14" s="7" customFormat="1" ht="25.5" x14ac:dyDescent="0.25">
      <c r="A163" s="7" t="s">
        <v>785</v>
      </c>
      <c r="C163" s="33" t="s">
        <v>243</v>
      </c>
      <c r="D163" s="10" t="s">
        <v>244</v>
      </c>
      <c r="E163" s="9" t="s">
        <v>26</v>
      </c>
      <c r="F163" s="209">
        <v>110.21</v>
      </c>
      <c r="G163" s="13">
        <v>641.98</v>
      </c>
      <c r="I163" s="95">
        <v>70749.41</v>
      </c>
      <c r="J163" s="95"/>
      <c r="K163" s="146">
        <f t="shared" si="19"/>
        <v>0.14252979501929255</v>
      </c>
      <c r="L163" s="17"/>
      <c r="M163" s="95"/>
      <c r="N163" s="134"/>
    </row>
    <row r="164" spans="1:14" s="7" customFormat="1" x14ac:dyDescent="0.25">
      <c r="A164" s="7" t="s">
        <v>785</v>
      </c>
      <c r="C164" s="33" t="s">
        <v>245</v>
      </c>
      <c r="D164" s="10" t="s">
        <v>246</v>
      </c>
      <c r="E164" s="9" t="s">
        <v>57</v>
      </c>
      <c r="F164" s="209">
        <v>237</v>
      </c>
      <c r="G164" s="13">
        <v>201.89</v>
      </c>
      <c r="I164" s="95">
        <v>47847.93</v>
      </c>
      <c r="J164" s="95"/>
      <c r="K164" s="146">
        <f t="shared" si="19"/>
        <v>9.6393109921304773E-2</v>
      </c>
      <c r="L164" s="17"/>
      <c r="M164" s="95"/>
      <c r="N164" s="134"/>
    </row>
    <row r="165" spans="1:14" s="7" customFormat="1" x14ac:dyDescent="0.25">
      <c r="A165" s="7" t="s">
        <v>785</v>
      </c>
      <c r="C165" s="32" t="s">
        <v>247</v>
      </c>
      <c r="D165" s="8" t="s">
        <v>248</v>
      </c>
      <c r="E165" s="9"/>
      <c r="F165" s="209"/>
      <c r="G165" s="13"/>
      <c r="I165" s="109">
        <f>SUM(I166:I167)</f>
        <v>110522.87</v>
      </c>
      <c r="J165" s="109"/>
      <c r="K165" s="146">
        <f t="shared" si="19"/>
        <v>0.22265630209557816</v>
      </c>
      <c r="L165" s="16"/>
      <c r="M165" s="109"/>
      <c r="N165" s="133"/>
    </row>
    <row r="166" spans="1:14" s="7" customFormat="1" ht="25.5" x14ac:dyDescent="0.25">
      <c r="A166" s="7" t="s">
        <v>785</v>
      </c>
      <c r="C166" s="33" t="s">
        <v>249</v>
      </c>
      <c r="D166" s="10" t="s">
        <v>250</v>
      </c>
      <c r="E166" s="9" t="s">
        <v>26</v>
      </c>
      <c r="F166" s="209">
        <v>25.5</v>
      </c>
      <c r="G166" s="13">
        <v>3911.67</v>
      </c>
      <c r="I166" s="95">
        <v>99747.59</v>
      </c>
      <c r="J166" s="95"/>
      <c r="K166" s="146">
        <f t="shared" si="19"/>
        <v>0.20094872248925377</v>
      </c>
      <c r="L166" s="17"/>
      <c r="M166" s="95"/>
      <c r="N166" s="134"/>
    </row>
    <row r="167" spans="1:14" s="7" customFormat="1" x14ac:dyDescent="0.25">
      <c r="A167" s="7" t="s">
        <v>785</v>
      </c>
      <c r="C167" s="33" t="s">
        <v>251</v>
      </c>
      <c r="D167" s="10" t="s">
        <v>252</v>
      </c>
      <c r="E167" s="9" t="s">
        <v>57</v>
      </c>
      <c r="F167" s="209">
        <v>102</v>
      </c>
      <c r="G167" s="13">
        <v>105.64</v>
      </c>
      <c r="I167" s="95">
        <v>10775.28</v>
      </c>
      <c r="J167" s="95"/>
      <c r="K167" s="146">
        <f t="shared" si="19"/>
        <v>2.1707579606324388E-2</v>
      </c>
      <c r="L167" s="17"/>
      <c r="M167" s="95"/>
      <c r="N167" s="134"/>
    </row>
    <row r="168" spans="1:14" s="7" customFormat="1" x14ac:dyDescent="0.25">
      <c r="A168" s="7" t="s">
        <v>785</v>
      </c>
      <c r="C168" s="32" t="s">
        <v>253</v>
      </c>
      <c r="D168" s="8" t="s">
        <v>254</v>
      </c>
      <c r="E168" s="9"/>
      <c r="F168" s="209"/>
      <c r="G168" s="13"/>
      <c r="I168" s="109"/>
      <c r="J168" s="109">
        <f>I169</f>
        <v>10287.16</v>
      </c>
      <c r="K168" s="149">
        <f t="shared" si="18"/>
        <v>2.0724226620839177E-2</v>
      </c>
      <c r="L168" s="16"/>
      <c r="M168" s="109"/>
      <c r="N168" s="133"/>
    </row>
    <row r="169" spans="1:14" s="7" customFormat="1" x14ac:dyDescent="0.25">
      <c r="A169" s="7" t="s">
        <v>785</v>
      </c>
      <c r="C169" s="32" t="s">
        <v>255</v>
      </c>
      <c r="D169" s="8" t="s">
        <v>256</v>
      </c>
      <c r="E169" s="9"/>
      <c r="F169" s="209"/>
      <c r="G169" s="13"/>
      <c r="I169" s="109">
        <f>I170</f>
        <v>10287.16</v>
      </c>
      <c r="J169" s="109"/>
      <c r="K169" s="146">
        <f>I169/$M$142</f>
        <v>2.0724226620839177E-2</v>
      </c>
      <c r="L169" s="16"/>
      <c r="M169" s="109"/>
      <c r="N169" s="133"/>
    </row>
    <row r="170" spans="1:14" s="7" customFormat="1" x14ac:dyDescent="0.25">
      <c r="A170" s="7" t="s">
        <v>785</v>
      </c>
      <c r="C170" s="33" t="s">
        <v>257</v>
      </c>
      <c r="D170" s="10" t="s">
        <v>258</v>
      </c>
      <c r="E170" s="9" t="s">
        <v>57</v>
      </c>
      <c r="F170" s="209">
        <v>146</v>
      </c>
      <c r="G170" s="13">
        <v>70.459999999999994</v>
      </c>
      <c r="I170" s="95">
        <v>10287.16</v>
      </c>
      <c r="J170" s="95"/>
      <c r="K170" s="146">
        <f>I170/$M$142</f>
        <v>2.0724226620839177E-2</v>
      </c>
      <c r="L170" s="17"/>
      <c r="M170" s="95"/>
      <c r="N170" s="134"/>
    </row>
    <row r="171" spans="1:14" s="7" customFormat="1" x14ac:dyDescent="0.25">
      <c r="A171" s="7" t="s">
        <v>785</v>
      </c>
      <c r="C171" s="32" t="s">
        <v>259</v>
      </c>
      <c r="D171" s="8" t="s">
        <v>260</v>
      </c>
      <c r="E171" s="9"/>
      <c r="F171" s="209"/>
      <c r="G171" s="13"/>
      <c r="I171" s="109"/>
      <c r="J171" s="109">
        <f>I172+I174</f>
        <v>7816</v>
      </c>
      <c r="K171" s="149">
        <f t="shared" si="18"/>
        <v>1.5745896366779463E-2</v>
      </c>
      <c r="L171" s="16"/>
      <c r="M171" s="109"/>
      <c r="N171" s="133"/>
    </row>
    <row r="172" spans="1:14" s="7" customFormat="1" x14ac:dyDescent="0.25">
      <c r="A172" s="7" t="s">
        <v>785</v>
      </c>
      <c r="C172" s="32" t="s">
        <v>261</v>
      </c>
      <c r="D172" s="8" t="s">
        <v>262</v>
      </c>
      <c r="E172" s="9"/>
      <c r="F172" s="209"/>
      <c r="G172" s="13"/>
      <c r="I172" s="109">
        <f>I173</f>
        <v>5000</v>
      </c>
      <c r="J172" s="109"/>
      <c r="K172" s="146">
        <f>I172/$M$142</f>
        <v>1.0072861032996074E-2</v>
      </c>
      <c r="L172" s="16"/>
      <c r="M172" s="109"/>
      <c r="N172" s="133"/>
    </row>
    <row r="173" spans="1:14" s="7" customFormat="1" x14ac:dyDescent="0.25">
      <c r="A173" s="7" t="s">
        <v>785</v>
      </c>
      <c r="C173" s="33" t="s">
        <v>263</v>
      </c>
      <c r="D173" s="10" t="s">
        <v>264</v>
      </c>
      <c r="E173" s="9" t="s">
        <v>23</v>
      </c>
      <c r="F173" s="209">
        <v>10</v>
      </c>
      <c r="G173" s="13">
        <v>500</v>
      </c>
      <c r="I173" s="95">
        <v>5000</v>
      </c>
      <c r="J173" s="95"/>
      <c r="K173" s="146">
        <f t="shared" ref="K173:K175" si="20">I173/$M$142</f>
        <v>1.0072861032996074E-2</v>
      </c>
      <c r="L173" s="17"/>
      <c r="M173" s="95"/>
      <c r="N173" s="134"/>
    </row>
    <row r="174" spans="1:14" s="7" customFormat="1" x14ac:dyDescent="0.25">
      <c r="A174" s="7" t="s">
        <v>785</v>
      </c>
      <c r="C174" s="32" t="s">
        <v>265</v>
      </c>
      <c r="D174" s="8" t="s">
        <v>266</v>
      </c>
      <c r="E174" s="9"/>
      <c r="F174" s="209"/>
      <c r="G174" s="13"/>
      <c r="I174" s="109">
        <f>I175</f>
        <v>2816</v>
      </c>
      <c r="J174" s="109"/>
      <c r="K174" s="146">
        <f t="shared" si="20"/>
        <v>5.6730353337833888E-3</v>
      </c>
      <c r="L174" s="16"/>
      <c r="M174" s="109"/>
      <c r="N174" s="133"/>
    </row>
    <row r="175" spans="1:14" s="7" customFormat="1" ht="15.75" thickBot="1" x14ac:dyDescent="0.3">
      <c r="A175" s="7" t="s">
        <v>785</v>
      </c>
      <c r="C175" s="34" t="s">
        <v>267</v>
      </c>
      <c r="D175" s="35" t="s">
        <v>268</v>
      </c>
      <c r="E175" s="36" t="s">
        <v>23</v>
      </c>
      <c r="F175" s="212">
        <v>2</v>
      </c>
      <c r="G175" s="37">
        <v>1408</v>
      </c>
      <c r="H175" s="38"/>
      <c r="I175" s="96">
        <v>2816</v>
      </c>
      <c r="J175" s="96"/>
      <c r="K175" s="151">
        <f t="shared" si="20"/>
        <v>5.6730353337833888E-3</v>
      </c>
      <c r="L175" s="39"/>
      <c r="M175" s="96"/>
      <c r="N175" s="137"/>
    </row>
    <row r="176" spans="1:14" s="7" customFormat="1" x14ac:dyDescent="0.25">
      <c r="C176" s="41"/>
      <c r="D176" s="41"/>
      <c r="E176" s="42"/>
      <c r="F176" s="43"/>
      <c r="G176" s="44"/>
      <c r="I176" s="97"/>
      <c r="J176" s="97"/>
      <c r="K176" s="255"/>
      <c r="L176" s="45"/>
      <c r="M176" s="97"/>
      <c r="N176" s="102"/>
    </row>
    <row r="177" spans="1:14" s="7" customFormat="1" x14ac:dyDescent="0.25">
      <c r="A177" s="7" t="s">
        <v>785</v>
      </c>
      <c r="C177" s="11"/>
      <c r="D177" s="57" t="s">
        <v>271</v>
      </c>
      <c r="E177" s="53"/>
      <c r="F177" s="54"/>
      <c r="G177" s="55"/>
      <c r="I177" s="277">
        <f>SUM(M5:M141)</f>
        <v>1905671.33</v>
      </c>
      <c r="J177" s="277"/>
      <c r="K177" s="277"/>
      <c r="L177" s="277"/>
      <c r="M177" s="277"/>
      <c r="N177" s="127">
        <v>1</v>
      </c>
    </row>
    <row r="178" spans="1:14" x14ac:dyDescent="0.25">
      <c r="A178" s="7" t="s">
        <v>785</v>
      </c>
      <c r="C178" s="21"/>
      <c r="D178" s="57" t="s">
        <v>272</v>
      </c>
      <c r="E178" s="56"/>
      <c r="F178" s="56"/>
      <c r="G178" s="56"/>
      <c r="I178" s="277">
        <f>M142</f>
        <v>496383.3</v>
      </c>
      <c r="J178" s="277"/>
      <c r="K178" s="277"/>
      <c r="L178" s="277"/>
      <c r="M178" s="277"/>
      <c r="N178" s="127">
        <v>1</v>
      </c>
    </row>
    <row r="179" spans="1:14" x14ac:dyDescent="0.25">
      <c r="A179" s="7" t="s">
        <v>785</v>
      </c>
      <c r="C179" s="21"/>
      <c r="D179" s="57" t="s">
        <v>270</v>
      </c>
      <c r="E179" s="56"/>
      <c r="F179" s="56"/>
      <c r="G179" s="56"/>
      <c r="I179" s="277">
        <f>I177+I178</f>
        <v>2402054.63</v>
      </c>
      <c r="J179" s="277"/>
      <c r="K179" s="277"/>
      <c r="L179" s="277"/>
      <c r="M179" s="277"/>
      <c r="N179" s="112"/>
    </row>
  </sheetData>
  <mergeCells count="5">
    <mergeCell ref="I4:J4"/>
    <mergeCell ref="I177:M177"/>
    <mergeCell ref="I178:M178"/>
    <mergeCell ref="I179:M179"/>
    <mergeCell ref="I3:N3"/>
  </mergeCells>
  <phoneticPr fontId="16" type="noConversion"/>
  <pageMargins left="0.511811024" right="0.511811024" top="0.78740157499999996" bottom="0.78740157499999996" header="0.31496062000000002" footer="0.31496062000000002"/>
  <pageSetup paperSize="8" scale="80" fitToHeight="0" orientation="landscape" horizontalDpi="1200" verticalDpi="1200" r:id="rId1"/>
  <ignoredErrors>
    <ignoredError sqref="K12 K30 K74 K81 K61 K43 K119 K94 K136 K171 K168 K14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78516-94E9-4F99-873C-BE85BAAD7819}">
  <sheetPr>
    <pageSetUpPr fitToPage="1"/>
  </sheetPr>
  <dimension ref="A1:M213"/>
  <sheetViews>
    <sheetView workbookViewId="0">
      <pane ySplit="4" topLeftCell="A5" activePane="bottomLeft" state="frozen"/>
      <selection pane="bottomLeft" activeCell="D11" sqref="D11"/>
    </sheetView>
  </sheetViews>
  <sheetFormatPr defaultColWidth="9.140625" defaultRowHeight="12.75" x14ac:dyDescent="0.25"/>
  <cols>
    <col min="1" max="1" width="18.7109375" style="63" customWidth="1"/>
    <col min="2" max="2" width="110.85546875" style="41" customWidth="1"/>
    <col min="3" max="3" width="6.7109375" style="42" customWidth="1"/>
    <col min="4" max="4" width="13.42578125" style="87" bestFit="1" customWidth="1"/>
    <col min="5" max="5" width="16.7109375" style="92" customWidth="1"/>
    <col min="6" max="6" width="1.42578125" style="62" customWidth="1"/>
    <col min="7" max="7" width="16.7109375" style="92" customWidth="1"/>
    <col min="8" max="8" width="16.5703125" style="92" bestFit="1" customWidth="1"/>
    <col min="9" max="9" width="10" style="147" bestFit="1" customWidth="1"/>
    <col min="10" max="10" width="1.140625" style="103" customWidth="1"/>
    <col min="11" max="11" width="16.42578125" style="103" customWidth="1"/>
    <col min="12" max="12" width="9.140625" style="103"/>
    <col min="13" max="16384" width="9.140625" style="62"/>
  </cols>
  <sheetData>
    <row r="1" spans="1:13" x14ac:dyDescent="0.25">
      <c r="A1" s="59" t="s">
        <v>4</v>
      </c>
    </row>
    <row r="2" spans="1:13" x14ac:dyDescent="0.25">
      <c r="G2" s="102"/>
      <c r="H2" s="102"/>
      <c r="J2" s="102"/>
      <c r="K2" s="102"/>
      <c r="L2" s="102"/>
      <c r="M2" s="60"/>
    </row>
    <row r="3" spans="1:13" x14ac:dyDescent="0.25">
      <c r="A3" s="59" t="s">
        <v>276</v>
      </c>
      <c r="G3" s="294" t="s">
        <v>11</v>
      </c>
      <c r="H3" s="294"/>
      <c r="I3" s="294"/>
      <c r="J3" s="294"/>
      <c r="K3" s="294"/>
      <c r="L3" s="294"/>
    </row>
    <row r="4" spans="1:13" ht="13.5" thickBot="1" x14ac:dyDescent="0.3">
      <c r="A4" s="46" t="s">
        <v>6</v>
      </c>
      <c r="B4" s="47" t="s">
        <v>7</v>
      </c>
      <c r="C4" s="46" t="s">
        <v>8</v>
      </c>
      <c r="D4" s="48" t="s">
        <v>9</v>
      </c>
      <c r="E4" s="93" t="s">
        <v>10</v>
      </c>
      <c r="F4" s="70"/>
      <c r="G4" s="104" t="s">
        <v>273</v>
      </c>
      <c r="H4" s="104"/>
      <c r="I4" s="104" t="s">
        <v>275</v>
      </c>
      <c r="J4" s="104"/>
      <c r="K4" s="104" t="s">
        <v>274</v>
      </c>
      <c r="L4" s="104" t="s">
        <v>12</v>
      </c>
    </row>
    <row r="5" spans="1:13" x14ac:dyDescent="0.25">
      <c r="A5" s="25">
        <v>1</v>
      </c>
      <c r="B5" s="26" t="s">
        <v>78</v>
      </c>
      <c r="C5" s="27"/>
      <c r="D5" s="88"/>
      <c r="E5" s="94"/>
      <c r="F5" s="72"/>
      <c r="G5" s="105"/>
      <c r="H5" s="106"/>
      <c r="I5" s="148"/>
      <c r="J5" s="106"/>
      <c r="K5" s="107">
        <f>SUM(H5:H34)</f>
        <v>99348.319999999992</v>
      </c>
      <c r="L5" s="108">
        <f>K5/$G$211</f>
        <v>1.7856258662757203E-2</v>
      </c>
    </row>
    <row r="6" spans="1:13" x14ac:dyDescent="0.25">
      <c r="A6" s="32" t="s">
        <v>14</v>
      </c>
      <c r="B6" s="8" t="s">
        <v>15</v>
      </c>
      <c r="C6" s="9"/>
      <c r="D6" s="89"/>
      <c r="E6" s="95"/>
      <c r="F6" s="67"/>
      <c r="G6" s="109"/>
      <c r="H6" s="110">
        <f>G7</f>
        <v>2167.35</v>
      </c>
      <c r="I6" s="149">
        <f>H6/$K$5</f>
        <v>2.1815668347486904E-2</v>
      </c>
      <c r="J6" s="111"/>
      <c r="K6" s="112"/>
      <c r="L6" s="113"/>
    </row>
    <row r="7" spans="1:13" x14ac:dyDescent="0.25">
      <c r="A7" s="32" t="s">
        <v>16</v>
      </c>
      <c r="B7" s="8" t="s">
        <v>17</v>
      </c>
      <c r="C7" s="9"/>
      <c r="D7" s="89"/>
      <c r="E7" s="95"/>
      <c r="F7" s="67"/>
      <c r="G7" s="109">
        <f>SUM(G8:G11)</f>
        <v>2167.35</v>
      </c>
      <c r="H7" s="114"/>
      <c r="I7" s="146">
        <f>G7/$K$5</f>
        <v>2.1815668347486904E-2</v>
      </c>
      <c r="J7" s="111"/>
      <c r="K7" s="112"/>
      <c r="L7" s="113"/>
    </row>
    <row r="8" spans="1:13" x14ac:dyDescent="0.25">
      <c r="A8" s="33" t="s">
        <v>18</v>
      </c>
      <c r="B8" s="10" t="s">
        <v>19</v>
      </c>
      <c r="C8" s="9" t="s">
        <v>20</v>
      </c>
      <c r="D8" s="89">
        <v>79</v>
      </c>
      <c r="E8" s="95">
        <v>4.38</v>
      </c>
      <c r="F8" s="67"/>
      <c r="G8" s="95">
        <v>346.02</v>
      </c>
      <c r="H8" s="114"/>
      <c r="I8" s="146">
        <f t="shared" ref="I8:I11" si="0">G8/$K$5</f>
        <v>3.4828973454206374E-3</v>
      </c>
      <c r="J8" s="111"/>
      <c r="K8" s="112"/>
      <c r="L8" s="113"/>
    </row>
    <row r="9" spans="1:13" x14ac:dyDescent="0.25">
      <c r="A9" s="33" t="s">
        <v>21</v>
      </c>
      <c r="B9" s="10" t="s">
        <v>22</v>
      </c>
      <c r="C9" s="9" t="s">
        <v>23</v>
      </c>
      <c r="D9" s="89">
        <v>1.98</v>
      </c>
      <c r="E9" s="95">
        <v>217.25</v>
      </c>
      <c r="F9" s="67"/>
      <c r="G9" s="95">
        <v>429.07</v>
      </c>
      <c r="H9" s="114"/>
      <c r="I9" s="146">
        <f t="shared" si="0"/>
        <v>4.3188450494180478E-3</v>
      </c>
      <c r="J9" s="111"/>
      <c r="K9" s="112"/>
      <c r="L9" s="113"/>
    </row>
    <row r="10" spans="1:13" x14ac:dyDescent="0.25">
      <c r="A10" s="33" t="s">
        <v>24</v>
      </c>
      <c r="B10" s="10" t="s">
        <v>25</v>
      </c>
      <c r="C10" s="9" t="s">
        <v>26</v>
      </c>
      <c r="D10" s="89">
        <v>23.7</v>
      </c>
      <c r="E10" s="95">
        <v>17.54</v>
      </c>
      <c r="F10" s="67"/>
      <c r="G10" s="95">
        <v>415.7</v>
      </c>
      <c r="H10" s="114"/>
      <c r="I10" s="146">
        <f t="shared" si="0"/>
        <v>4.1842680379497108E-3</v>
      </c>
      <c r="J10" s="111"/>
      <c r="K10" s="112"/>
      <c r="L10" s="113"/>
    </row>
    <row r="11" spans="1:13" x14ac:dyDescent="0.25">
      <c r="A11" s="33" t="s">
        <v>27</v>
      </c>
      <c r="B11" s="10" t="s">
        <v>28</v>
      </c>
      <c r="C11" s="9" t="s">
        <v>29</v>
      </c>
      <c r="D11" s="89">
        <v>476.37</v>
      </c>
      <c r="E11" s="95">
        <v>2.0499999999999998</v>
      </c>
      <c r="F11" s="67"/>
      <c r="G11" s="95">
        <v>976.56</v>
      </c>
      <c r="H11" s="114"/>
      <c r="I11" s="146">
        <f t="shared" si="0"/>
        <v>9.8296579146985082E-3</v>
      </c>
      <c r="J11" s="111"/>
      <c r="K11" s="112"/>
      <c r="L11" s="113"/>
    </row>
    <row r="12" spans="1:13" x14ac:dyDescent="0.25">
      <c r="A12" s="32" t="s">
        <v>30</v>
      </c>
      <c r="B12" s="8" t="s">
        <v>31</v>
      </c>
      <c r="C12" s="9"/>
      <c r="D12" s="89"/>
      <c r="E12" s="95"/>
      <c r="F12" s="67"/>
      <c r="G12" s="109"/>
      <c r="H12" s="110">
        <f>G13+G15</f>
        <v>94670.049999999988</v>
      </c>
      <c r="I12" s="149">
        <f t="shared" ref="I12:I30" si="1">H12/$K$5</f>
        <v>0.95291042666851333</v>
      </c>
      <c r="J12" s="111"/>
      <c r="K12" s="112"/>
      <c r="L12" s="113"/>
    </row>
    <row r="13" spans="1:13" x14ac:dyDescent="0.25">
      <c r="A13" s="32" t="s">
        <v>32</v>
      </c>
      <c r="B13" s="8" t="s">
        <v>33</v>
      </c>
      <c r="C13" s="9"/>
      <c r="D13" s="89"/>
      <c r="E13" s="95"/>
      <c r="F13" s="67"/>
      <c r="G13" s="109">
        <f>G14</f>
        <v>41509.599999999999</v>
      </c>
      <c r="H13" s="114"/>
      <c r="I13" s="146">
        <f>G13/$K$5</f>
        <v>0.41781884182842749</v>
      </c>
      <c r="J13" s="111"/>
      <c r="K13" s="112"/>
      <c r="L13" s="113"/>
    </row>
    <row r="14" spans="1:13" ht="25.5" x14ac:dyDescent="0.25">
      <c r="A14" s="33" t="s">
        <v>34</v>
      </c>
      <c r="B14" s="10" t="s">
        <v>35</v>
      </c>
      <c r="C14" s="9" t="s">
        <v>20</v>
      </c>
      <c r="D14" s="89">
        <v>55</v>
      </c>
      <c r="E14" s="95">
        <v>754.72</v>
      </c>
      <c r="F14" s="67"/>
      <c r="G14" s="95">
        <v>41509.599999999999</v>
      </c>
      <c r="H14" s="114"/>
      <c r="I14" s="146">
        <f t="shared" ref="I14:I29" si="2">G14/$K$5</f>
        <v>0.41781884182842749</v>
      </c>
      <c r="J14" s="111"/>
      <c r="K14" s="112"/>
      <c r="L14" s="113"/>
    </row>
    <row r="15" spans="1:13" x14ac:dyDescent="0.25">
      <c r="A15" s="32" t="s">
        <v>36</v>
      </c>
      <c r="B15" s="8" t="s">
        <v>37</v>
      </c>
      <c r="C15" s="9"/>
      <c r="D15" s="89"/>
      <c r="E15" s="95"/>
      <c r="F15" s="67"/>
      <c r="G15" s="109">
        <f>SUM(G16:G29)</f>
        <v>53160.45</v>
      </c>
      <c r="H15" s="114"/>
      <c r="I15" s="146">
        <f t="shared" si="2"/>
        <v>0.5350915848400859</v>
      </c>
      <c r="J15" s="111"/>
      <c r="K15" s="112"/>
      <c r="L15" s="113"/>
    </row>
    <row r="16" spans="1:13" x14ac:dyDescent="0.25">
      <c r="A16" s="33" t="s">
        <v>38</v>
      </c>
      <c r="B16" s="10" t="s">
        <v>39</v>
      </c>
      <c r="C16" s="9" t="s">
        <v>26</v>
      </c>
      <c r="D16" s="89">
        <v>9.6</v>
      </c>
      <c r="E16" s="95">
        <v>641.26</v>
      </c>
      <c r="F16" s="67"/>
      <c r="G16" s="95">
        <v>6156.1</v>
      </c>
      <c r="H16" s="114"/>
      <c r="I16" s="146">
        <f t="shared" si="2"/>
        <v>6.1964812288723158E-2</v>
      </c>
      <c r="J16" s="111"/>
      <c r="K16" s="112"/>
      <c r="L16" s="113"/>
    </row>
    <row r="17" spans="1:12" x14ac:dyDescent="0.25">
      <c r="A17" s="33" t="s">
        <v>40</v>
      </c>
      <c r="B17" s="10" t="s">
        <v>41</v>
      </c>
      <c r="C17" s="9" t="s">
        <v>42</v>
      </c>
      <c r="D17" s="89">
        <v>240</v>
      </c>
      <c r="E17" s="95">
        <v>8.64</v>
      </c>
      <c r="F17" s="67"/>
      <c r="G17" s="95">
        <v>2073.6</v>
      </c>
      <c r="H17" s="114"/>
      <c r="I17" s="146">
        <f t="shared" si="2"/>
        <v>2.0872018771932933E-2</v>
      </c>
      <c r="J17" s="111"/>
      <c r="K17" s="112"/>
      <c r="L17" s="113"/>
    </row>
    <row r="18" spans="1:12" x14ac:dyDescent="0.25">
      <c r="A18" s="33" t="s">
        <v>43</v>
      </c>
      <c r="B18" s="10" t="s">
        <v>44</v>
      </c>
      <c r="C18" s="9" t="s">
        <v>42</v>
      </c>
      <c r="D18" s="89">
        <v>432</v>
      </c>
      <c r="E18" s="95">
        <v>9.66</v>
      </c>
      <c r="F18" s="67"/>
      <c r="G18" s="95">
        <v>4173.12</v>
      </c>
      <c r="H18" s="114"/>
      <c r="I18" s="146">
        <f t="shared" si="2"/>
        <v>4.2004937778515029E-2</v>
      </c>
      <c r="J18" s="111"/>
      <c r="K18" s="112"/>
      <c r="L18" s="113"/>
    </row>
    <row r="19" spans="1:12" x14ac:dyDescent="0.25">
      <c r="A19" s="33" t="s">
        <v>45</v>
      </c>
      <c r="B19" s="10" t="s">
        <v>46</v>
      </c>
      <c r="C19" s="9" t="s">
        <v>42</v>
      </c>
      <c r="D19" s="89">
        <v>432</v>
      </c>
      <c r="E19" s="95">
        <v>8.84</v>
      </c>
      <c r="F19" s="67"/>
      <c r="G19" s="95">
        <v>3818.88</v>
      </c>
      <c r="H19" s="114"/>
      <c r="I19" s="146">
        <f t="shared" si="2"/>
        <v>3.8439301238309818E-2</v>
      </c>
      <c r="J19" s="111"/>
      <c r="K19" s="112"/>
      <c r="L19" s="113"/>
    </row>
    <row r="20" spans="1:12" x14ac:dyDescent="0.25">
      <c r="A20" s="33" t="s">
        <v>47</v>
      </c>
      <c r="B20" s="10" t="s">
        <v>48</v>
      </c>
      <c r="C20" s="9" t="s">
        <v>26</v>
      </c>
      <c r="D20" s="89">
        <v>19.2</v>
      </c>
      <c r="E20" s="95">
        <v>25.13</v>
      </c>
      <c r="F20" s="67"/>
      <c r="G20" s="95">
        <v>482.5</v>
      </c>
      <c r="H20" s="114"/>
      <c r="I20" s="146">
        <f t="shared" si="2"/>
        <v>4.8566498155177664E-3</v>
      </c>
      <c r="J20" s="111"/>
      <c r="K20" s="112"/>
      <c r="L20" s="113"/>
    </row>
    <row r="21" spans="1:12" x14ac:dyDescent="0.25">
      <c r="A21" s="33" t="s">
        <v>49</v>
      </c>
      <c r="B21" s="10" t="s">
        <v>50</v>
      </c>
      <c r="C21" s="9" t="s">
        <v>26</v>
      </c>
      <c r="D21" s="89">
        <v>0.48</v>
      </c>
      <c r="E21" s="95">
        <v>900.01</v>
      </c>
      <c r="F21" s="67"/>
      <c r="G21" s="95">
        <v>432</v>
      </c>
      <c r="H21" s="114"/>
      <c r="I21" s="146">
        <f t="shared" si="2"/>
        <v>4.3483372441526945E-3</v>
      </c>
      <c r="J21" s="111"/>
      <c r="K21" s="112"/>
      <c r="L21" s="113"/>
    </row>
    <row r="22" spans="1:12" x14ac:dyDescent="0.25">
      <c r="A22" s="33" t="s">
        <v>51</v>
      </c>
      <c r="B22" s="10" t="s">
        <v>52</v>
      </c>
      <c r="C22" s="9" t="s">
        <v>26</v>
      </c>
      <c r="D22" s="89">
        <v>0.48</v>
      </c>
      <c r="E22" s="95">
        <v>1002.12</v>
      </c>
      <c r="F22" s="67"/>
      <c r="G22" s="95">
        <v>481.02</v>
      </c>
      <c r="H22" s="114"/>
      <c r="I22" s="146">
        <f t="shared" si="2"/>
        <v>4.841752734218354E-3</v>
      </c>
      <c r="J22" s="111"/>
      <c r="K22" s="112"/>
      <c r="L22" s="113"/>
    </row>
    <row r="23" spans="1:12" x14ac:dyDescent="0.25">
      <c r="A23" s="33" t="s">
        <v>53</v>
      </c>
      <c r="B23" s="10" t="s">
        <v>54</v>
      </c>
      <c r="C23" s="9" t="s">
        <v>26</v>
      </c>
      <c r="D23" s="89">
        <v>12</v>
      </c>
      <c r="E23" s="95">
        <v>1037.21</v>
      </c>
      <c r="F23" s="67"/>
      <c r="G23" s="95">
        <v>12446.52</v>
      </c>
      <c r="H23" s="114"/>
      <c r="I23" s="146">
        <f t="shared" si="2"/>
        <v>0.12528163536132267</v>
      </c>
      <c r="J23" s="111"/>
      <c r="K23" s="112"/>
      <c r="L23" s="113"/>
    </row>
    <row r="24" spans="1:12" x14ac:dyDescent="0.25">
      <c r="A24" s="33" t="s">
        <v>55</v>
      </c>
      <c r="B24" s="10" t="s">
        <v>56</v>
      </c>
      <c r="C24" s="9" t="s">
        <v>57</v>
      </c>
      <c r="D24" s="89">
        <v>12</v>
      </c>
      <c r="E24" s="95">
        <v>45.3</v>
      </c>
      <c r="F24" s="67"/>
      <c r="G24" s="95">
        <v>543.6</v>
      </c>
      <c r="H24" s="114"/>
      <c r="I24" s="146">
        <f t="shared" si="2"/>
        <v>5.4716576988921408E-3</v>
      </c>
      <c r="J24" s="111"/>
      <c r="K24" s="112"/>
      <c r="L24" s="113"/>
    </row>
    <row r="25" spans="1:12" ht="25.5" x14ac:dyDescent="0.25">
      <c r="A25" s="33" t="s">
        <v>58</v>
      </c>
      <c r="B25" s="10" t="s">
        <v>59</v>
      </c>
      <c r="C25" s="9" t="s">
        <v>20</v>
      </c>
      <c r="D25" s="89">
        <v>24</v>
      </c>
      <c r="E25" s="95">
        <v>106.17</v>
      </c>
      <c r="F25" s="67"/>
      <c r="G25" s="95">
        <v>2548.08</v>
      </c>
      <c r="H25" s="114"/>
      <c r="I25" s="146">
        <f t="shared" si="2"/>
        <v>2.5647942511760644E-2</v>
      </c>
      <c r="J25" s="111"/>
      <c r="K25" s="112"/>
      <c r="L25" s="113"/>
    </row>
    <row r="26" spans="1:12" ht="25.5" x14ac:dyDescent="0.25">
      <c r="A26" s="33" t="s">
        <v>60</v>
      </c>
      <c r="B26" s="10" t="s">
        <v>61</v>
      </c>
      <c r="C26" s="9" t="s">
        <v>26</v>
      </c>
      <c r="D26" s="89">
        <v>19.2</v>
      </c>
      <c r="E26" s="95">
        <v>56.85</v>
      </c>
      <c r="F26" s="67"/>
      <c r="G26" s="95">
        <v>1091.52</v>
      </c>
      <c r="H26" s="114"/>
      <c r="I26" s="146">
        <f t="shared" si="2"/>
        <v>1.0986798770225807E-2</v>
      </c>
      <c r="J26" s="111"/>
      <c r="K26" s="112"/>
      <c r="L26" s="113"/>
    </row>
    <row r="27" spans="1:12" x14ac:dyDescent="0.25">
      <c r="A27" s="33" t="s">
        <v>62</v>
      </c>
      <c r="B27" s="10" t="s">
        <v>63</v>
      </c>
      <c r="C27" s="9" t="s">
        <v>20</v>
      </c>
      <c r="D27" s="89">
        <v>19.2</v>
      </c>
      <c r="E27" s="95">
        <v>76.84</v>
      </c>
      <c r="F27" s="67"/>
      <c r="G27" s="95">
        <v>1475.33</v>
      </c>
      <c r="H27" s="114"/>
      <c r="I27" s="146">
        <f t="shared" si="2"/>
        <v>1.4850074968555079E-2</v>
      </c>
      <c r="J27" s="111"/>
      <c r="K27" s="112"/>
      <c r="L27" s="113"/>
    </row>
    <row r="28" spans="1:12" x14ac:dyDescent="0.25">
      <c r="A28" s="33" t="s">
        <v>64</v>
      </c>
      <c r="B28" s="10" t="s">
        <v>65</v>
      </c>
      <c r="C28" s="9" t="s">
        <v>42</v>
      </c>
      <c r="D28" s="89">
        <v>300</v>
      </c>
      <c r="E28" s="95">
        <v>11.15</v>
      </c>
      <c r="F28" s="67"/>
      <c r="G28" s="95">
        <v>3345</v>
      </c>
      <c r="H28" s="114"/>
      <c r="I28" s="146">
        <f t="shared" si="2"/>
        <v>3.3669416855765653E-2</v>
      </c>
      <c r="J28" s="111"/>
      <c r="K28" s="112"/>
      <c r="L28" s="113"/>
    </row>
    <row r="29" spans="1:12" x14ac:dyDescent="0.25">
      <c r="A29" s="33" t="s">
        <v>66</v>
      </c>
      <c r="B29" s="10" t="s">
        <v>67</v>
      </c>
      <c r="C29" s="9" t="s">
        <v>26</v>
      </c>
      <c r="D29" s="89">
        <v>19.2</v>
      </c>
      <c r="E29" s="95">
        <v>734.02</v>
      </c>
      <c r="F29" s="67"/>
      <c r="G29" s="95">
        <v>14093.18</v>
      </c>
      <c r="H29" s="114"/>
      <c r="I29" s="146">
        <f t="shared" si="2"/>
        <v>0.14185624880219416</v>
      </c>
      <c r="J29" s="111"/>
      <c r="K29" s="112"/>
      <c r="L29" s="113"/>
    </row>
    <row r="30" spans="1:12" x14ac:dyDescent="0.25">
      <c r="A30" s="32" t="s">
        <v>68</v>
      </c>
      <c r="B30" s="8" t="s">
        <v>69</v>
      </c>
      <c r="C30" s="9"/>
      <c r="D30" s="89"/>
      <c r="E30" s="95"/>
      <c r="F30" s="67"/>
      <c r="G30" s="109"/>
      <c r="H30" s="110">
        <f>G31+G33</f>
        <v>2510.92</v>
      </c>
      <c r="I30" s="149">
        <f t="shared" si="1"/>
        <v>2.5273904983999732E-2</v>
      </c>
      <c r="J30" s="111"/>
      <c r="K30" s="112"/>
      <c r="L30" s="113"/>
    </row>
    <row r="31" spans="1:12" x14ac:dyDescent="0.25">
      <c r="A31" s="32" t="s">
        <v>70</v>
      </c>
      <c r="B31" s="8" t="s">
        <v>71</v>
      </c>
      <c r="C31" s="9"/>
      <c r="D31" s="89"/>
      <c r="E31" s="95"/>
      <c r="F31" s="67"/>
      <c r="G31" s="109">
        <f>G32</f>
        <v>1313.65</v>
      </c>
      <c r="H31" s="114"/>
      <c r="I31" s="146">
        <f>G31/$K$5</f>
        <v>1.3222669492549046E-2</v>
      </c>
      <c r="J31" s="111"/>
      <c r="K31" s="112"/>
      <c r="L31" s="113"/>
    </row>
    <row r="32" spans="1:12" x14ac:dyDescent="0.25">
      <c r="A32" s="33" t="s">
        <v>72</v>
      </c>
      <c r="B32" s="10" t="s">
        <v>73</v>
      </c>
      <c r="C32" s="9" t="s">
        <v>57</v>
      </c>
      <c r="D32" s="89">
        <v>43</v>
      </c>
      <c r="E32" s="95">
        <v>30.55</v>
      </c>
      <c r="F32" s="67"/>
      <c r="G32" s="95">
        <v>1313.65</v>
      </c>
      <c r="H32" s="114"/>
      <c r="I32" s="146">
        <f t="shared" ref="I32:I34" si="3">G32/$K$5</f>
        <v>1.3222669492549046E-2</v>
      </c>
      <c r="J32" s="111"/>
      <c r="K32" s="112"/>
      <c r="L32" s="113"/>
    </row>
    <row r="33" spans="1:12" x14ac:dyDescent="0.25">
      <c r="A33" s="32" t="s">
        <v>74</v>
      </c>
      <c r="B33" s="8" t="s">
        <v>75</v>
      </c>
      <c r="C33" s="9"/>
      <c r="D33" s="89"/>
      <c r="E33" s="95"/>
      <c r="F33" s="67"/>
      <c r="G33" s="109">
        <f>G34</f>
        <v>1197.27</v>
      </c>
      <c r="H33" s="114"/>
      <c r="I33" s="146">
        <f t="shared" si="3"/>
        <v>1.2051235491450686E-2</v>
      </c>
      <c r="J33" s="111"/>
      <c r="K33" s="112"/>
      <c r="L33" s="113"/>
    </row>
    <row r="34" spans="1:12" ht="25.5" x14ac:dyDescent="0.25">
      <c r="A34" s="33" t="s">
        <v>76</v>
      </c>
      <c r="B34" s="10" t="s">
        <v>77</v>
      </c>
      <c r="C34" s="9" t="s">
        <v>26</v>
      </c>
      <c r="D34" s="89">
        <v>0.7</v>
      </c>
      <c r="E34" s="95">
        <v>1710.38</v>
      </c>
      <c r="F34" s="67"/>
      <c r="G34" s="95">
        <v>1197.27</v>
      </c>
      <c r="H34" s="114"/>
      <c r="I34" s="146">
        <f t="shared" si="3"/>
        <v>1.2051235491450686E-2</v>
      </c>
      <c r="J34" s="111"/>
      <c r="K34" s="112"/>
      <c r="L34" s="113"/>
    </row>
    <row r="35" spans="1:12" x14ac:dyDescent="0.25">
      <c r="A35" s="33"/>
      <c r="B35" s="10"/>
      <c r="C35" s="9"/>
      <c r="D35" s="89"/>
      <c r="E35" s="95"/>
      <c r="F35" s="67"/>
      <c r="G35" s="95"/>
      <c r="H35" s="114"/>
      <c r="I35" s="146"/>
      <c r="J35" s="111"/>
      <c r="K35" s="112"/>
      <c r="L35" s="113"/>
    </row>
    <row r="36" spans="1:12" x14ac:dyDescent="0.25">
      <c r="A36" s="32">
        <v>2</v>
      </c>
      <c r="B36" s="8" t="s">
        <v>277</v>
      </c>
      <c r="C36" s="9"/>
      <c r="D36" s="89"/>
      <c r="E36" s="95"/>
      <c r="F36" s="67"/>
      <c r="G36" s="109"/>
      <c r="H36" s="114"/>
      <c r="I36" s="150"/>
      <c r="J36" s="111"/>
      <c r="K36" s="112">
        <f>SUM(H36:H72)</f>
        <v>1422949.41</v>
      </c>
      <c r="L36" s="115">
        <f>K36/$G$211</f>
        <v>0.25575221331349896</v>
      </c>
    </row>
    <row r="37" spans="1:12" x14ac:dyDescent="0.25">
      <c r="A37" s="32" t="s">
        <v>79</v>
      </c>
      <c r="B37" s="8" t="s">
        <v>15</v>
      </c>
      <c r="C37" s="9"/>
      <c r="D37" s="89"/>
      <c r="E37" s="95"/>
      <c r="F37" s="67"/>
      <c r="G37" s="109"/>
      <c r="H37" s="110">
        <f>G38+G43</f>
        <v>47382.07</v>
      </c>
      <c r="I37" s="149">
        <f>H37/$K$36</f>
        <v>3.3298492319554777E-2</v>
      </c>
      <c r="J37" s="111"/>
      <c r="K37" s="112"/>
      <c r="L37" s="113"/>
    </row>
    <row r="38" spans="1:12" x14ac:dyDescent="0.25">
      <c r="A38" s="32" t="s">
        <v>80</v>
      </c>
      <c r="B38" s="8" t="s">
        <v>17</v>
      </c>
      <c r="C38" s="9"/>
      <c r="D38" s="89"/>
      <c r="E38" s="95"/>
      <c r="F38" s="67"/>
      <c r="G38" s="109">
        <f>SUM(G39:G42)</f>
        <v>43127.42</v>
      </c>
      <c r="H38" s="114"/>
      <c r="I38" s="146">
        <f>G38/$K$36</f>
        <v>3.0308470348218493E-2</v>
      </c>
      <c r="J38" s="111"/>
      <c r="K38" s="112"/>
      <c r="L38" s="113"/>
    </row>
    <row r="39" spans="1:12" x14ac:dyDescent="0.25">
      <c r="A39" s="33" t="s">
        <v>81</v>
      </c>
      <c r="B39" s="10" t="s">
        <v>19</v>
      </c>
      <c r="C39" s="9" t="s">
        <v>20</v>
      </c>
      <c r="D39" s="89">
        <v>1572</v>
      </c>
      <c r="E39" s="95">
        <v>4.38</v>
      </c>
      <c r="F39" s="67"/>
      <c r="G39" s="95">
        <v>6885.36</v>
      </c>
      <c r="H39" s="114"/>
      <c r="I39" s="146">
        <f t="shared" ref="I39:I49" si="4">G39/$K$36</f>
        <v>4.8387946553911567E-3</v>
      </c>
      <c r="J39" s="111"/>
      <c r="K39" s="112"/>
      <c r="L39" s="113"/>
    </row>
    <row r="40" spans="1:12" x14ac:dyDescent="0.25">
      <c r="A40" s="33" t="s">
        <v>82</v>
      </c>
      <c r="B40" s="10" t="s">
        <v>22</v>
      </c>
      <c r="C40" s="9" t="s">
        <v>23</v>
      </c>
      <c r="D40" s="89">
        <v>39.299999999999997</v>
      </c>
      <c r="E40" s="95">
        <v>217.25</v>
      </c>
      <c r="F40" s="67"/>
      <c r="G40" s="95">
        <v>8537.92</v>
      </c>
      <c r="H40" s="114"/>
      <c r="I40" s="146">
        <f t="shared" si="4"/>
        <v>6.0001570962385804E-3</v>
      </c>
      <c r="J40" s="111"/>
      <c r="K40" s="112"/>
      <c r="L40" s="113"/>
    </row>
    <row r="41" spans="1:12" x14ac:dyDescent="0.25">
      <c r="A41" s="33" t="s">
        <v>83</v>
      </c>
      <c r="B41" s="10" t="s">
        <v>25</v>
      </c>
      <c r="C41" s="9" t="s">
        <v>26</v>
      </c>
      <c r="D41" s="89">
        <v>471.6</v>
      </c>
      <c r="E41" s="95">
        <v>17.54</v>
      </c>
      <c r="F41" s="67"/>
      <c r="G41" s="95">
        <v>8271.86</v>
      </c>
      <c r="H41" s="114"/>
      <c r="I41" s="146">
        <f t="shared" si="4"/>
        <v>5.8131792612359989E-3</v>
      </c>
      <c r="J41" s="111"/>
      <c r="K41" s="112"/>
      <c r="L41" s="113"/>
    </row>
    <row r="42" spans="1:12" x14ac:dyDescent="0.25">
      <c r="A42" s="33" t="s">
        <v>84</v>
      </c>
      <c r="B42" s="10" t="s">
        <v>28</v>
      </c>
      <c r="C42" s="9" t="s">
        <v>29</v>
      </c>
      <c r="D42" s="89">
        <v>9479.16</v>
      </c>
      <c r="E42" s="95">
        <v>2.0499999999999998</v>
      </c>
      <c r="F42" s="67"/>
      <c r="G42" s="95">
        <v>19432.28</v>
      </c>
      <c r="H42" s="114"/>
      <c r="I42" s="146">
        <f t="shared" si="4"/>
        <v>1.3656339335352759E-2</v>
      </c>
      <c r="J42" s="111"/>
      <c r="K42" s="112"/>
      <c r="L42" s="113"/>
    </row>
    <row r="43" spans="1:12" x14ac:dyDescent="0.25">
      <c r="A43" s="32" t="s">
        <v>278</v>
      </c>
      <c r="B43" s="8" t="s">
        <v>279</v>
      </c>
      <c r="C43" s="9"/>
      <c r="D43" s="89"/>
      <c r="E43" s="95"/>
      <c r="F43" s="67"/>
      <c r="G43" s="109">
        <f>SUM(G44:G49)</f>
        <v>4254.6499999999996</v>
      </c>
      <c r="H43" s="114"/>
      <c r="I43" s="146">
        <f t="shared" si="4"/>
        <v>2.9900219713362825E-3</v>
      </c>
      <c r="J43" s="111"/>
      <c r="K43" s="112"/>
      <c r="L43" s="113"/>
    </row>
    <row r="44" spans="1:12" x14ac:dyDescent="0.25">
      <c r="A44" s="33" t="s">
        <v>280</v>
      </c>
      <c r="B44" s="10" t="s">
        <v>281</v>
      </c>
      <c r="C44" s="9" t="s">
        <v>26</v>
      </c>
      <c r="D44" s="89">
        <v>26.4</v>
      </c>
      <c r="E44" s="95">
        <v>54.08</v>
      </c>
      <c r="F44" s="67"/>
      <c r="G44" s="95">
        <v>1427.71</v>
      </c>
      <c r="H44" s="114"/>
      <c r="I44" s="146">
        <f t="shared" si="4"/>
        <v>1.003345579236018E-3</v>
      </c>
      <c r="J44" s="111"/>
      <c r="K44" s="112"/>
      <c r="L44" s="113"/>
    </row>
    <row r="45" spans="1:12" x14ac:dyDescent="0.25">
      <c r="A45" s="33" t="s">
        <v>282</v>
      </c>
      <c r="B45" s="10" t="s">
        <v>283</v>
      </c>
      <c r="C45" s="9" t="s">
        <v>26</v>
      </c>
      <c r="D45" s="89">
        <v>6.6</v>
      </c>
      <c r="E45" s="95">
        <v>78.37</v>
      </c>
      <c r="F45" s="67"/>
      <c r="G45" s="95">
        <v>517.24</v>
      </c>
      <c r="H45" s="114"/>
      <c r="I45" s="146">
        <f t="shared" si="4"/>
        <v>3.6349851678845E-4</v>
      </c>
      <c r="J45" s="111"/>
      <c r="K45" s="112"/>
      <c r="L45" s="113"/>
    </row>
    <row r="46" spans="1:12" x14ac:dyDescent="0.25">
      <c r="A46" s="33" t="s">
        <v>284</v>
      </c>
      <c r="B46" s="10" t="s">
        <v>285</v>
      </c>
      <c r="C46" s="9" t="s">
        <v>26</v>
      </c>
      <c r="D46" s="89">
        <v>2.31</v>
      </c>
      <c r="E46" s="95">
        <v>168.28</v>
      </c>
      <c r="F46" s="67"/>
      <c r="G46" s="95">
        <v>388.73</v>
      </c>
      <c r="H46" s="114"/>
      <c r="I46" s="146">
        <f t="shared" si="4"/>
        <v>2.731861001298704E-4</v>
      </c>
      <c r="J46" s="111"/>
      <c r="K46" s="112"/>
      <c r="L46" s="113"/>
    </row>
    <row r="47" spans="1:12" x14ac:dyDescent="0.25">
      <c r="A47" s="33" t="s">
        <v>286</v>
      </c>
      <c r="B47" s="10" t="s">
        <v>287</v>
      </c>
      <c r="C47" s="9" t="s">
        <v>20</v>
      </c>
      <c r="D47" s="89">
        <v>35.200000000000003</v>
      </c>
      <c r="E47" s="95">
        <v>6.36</v>
      </c>
      <c r="F47" s="67"/>
      <c r="G47" s="95">
        <v>223.87</v>
      </c>
      <c r="H47" s="114"/>
      <c r="I47" s="146">
        <f t="shared" si="4"/>
        <v>1.5732815125170193E-4</v>
      </c>
      <c r="J47" s="111"/>
      <c r="K47" s="112"/>
      <c r="L47" s="113"/>
    </row>
    <row r="48" spans="1:12" x14ac:dyDescent="0.25">
      <c r="A48" s="33" t="s">
        <v>288</v>
      </c>
      <c r="B48" s="10" t="s">
        <v>25</v>
      </c>
      <c r="C48" s="9" t="s">
        <v>26</v>
      </c>
      <c r="D48" s="89">
        <v>35.200000000000003</v>
      </c>
      <c r="E48" s="95">
        <v>17.54</v>
      </c>
      <c r="F48" s="67"/>
      <c r="G48" s="95">
        <v>617.41</v>
      </c>
      <c r="H48" s="114"/>
      <c r="I48" s="146">
        <f t="shared" si="4"/>
        <v>4.3389455426950138E-4</v>
      </c>
      <c r="J48" s="111"/>
      <c r="K48" s="112"/>
      <c r="L48" s="113"/>
    </row>
    <row r="49" spans="1:12" x14ac:dyDescent="0.25">
      <c r="A49" s="33" t="s">
        <v>289</v>
      </c>
      <c r="B49" s="10" t="s">
        <v>28</v>
      </c>
      <c r="C49" s="9" t="s">
        <v>29</v>
      </c>
      <c r="D49" s="89">
        <v>526.67999999999995</v>
      </c>
      <c r="E49" s="95">
        <v>2.0499999999999998</v>
      </c>
      <c r="F49" s="67"/>
      <c r="G49" s="95">
        <v>1079.69</v>
      </c>
      <c r="H49" s="114"/>
      <c r="I49" s="146">
        <f t="shared" si="4"/>
        <v>7.5876906966074089E-4</v>
      </c>
      <c r="J49" s="111"/>
      <c r="K49" s="112"/>
      <c r="L49" s="113"/>
    </row>
    <row r="50" spans="1:12" x14ac:dyDescent="0.25">
      <c r="A50" s="32" t="s">
        <v>85</v>
      </c>
      <c r="B50" s="8" t="s">
        <v>31</v>
      </c>
      <c r="C50" s="9"/>
      <c r="D50" s="89"/>
      <c r="E50" s="95"/>
      <c r="F50" s="67"/>
      <c r="G50" s="109"/>
      <c r="H50" s="110">
        <f>G51+G53</f>
        <v>1361655.67</v>
      </c>
      <c r="I50" s="149">
        <f>H50/$K$36</f>
        <v>0.95692486354803019</v>
      </c>
      <c r="J50" s="111"/>
      <c r="K50" s="112"/>
      <c r="L50" s="113"/>
    </row>
    <row r="51" spans="1:12" x14ac:dyDescent="0.25">
      <c r="A51" s="32" t="s">
        <v>86</v>
      </c>
      <c r="B51" s="8" t="s">
        <v>33</v>
      </c>
      <c r="C51" s="9"/>
      <c r="D51" s="89"/>
      <c r="E51" s="95"/>
      <c r="F51" s="67"/>
      <c r="G51" s="109">
        <f>G52</f>
        <v>1095853.44</v>
      </c>
      <c r="H51" s="114"/>
      <c r="I51" s="146">
        <f>G51/$K$36</f>
        <v>0.77012818045302112</v>
      </c>
      <c r="J51" s="111"/>
      <c r="K51" s="112"/>
      <c r="L51" s="113"/>
    </row>
    <row r="52" spans="1:12" ht="25.5" x14ac:dyDescent="0.25">
      <c r="A52" s="33" t="s">
        <v>87</v>
      </c>
      <c r="B52" s="10" t="s">
        <v>35</v>
      </c>
      <c r="C52" s="9" t="s">
        <v>20</v>
      </c>
      <c r="D52" s="89">
        <v>1452</v>
      </c>
      <c r="E52" s="95">
        <v>754.72</v>
      </c>
      <c r="F52" s="67"/>
      <c r="G52" s="95">
        <v>1095853.44</v>
      </c>
      <c r="H52" s="114"/>
      <c r="I52" s="146">
        <f t="shared" ref="I52:I67" si="5">G52/$K$36</f>
        <v>0.77012818045302112</v>
      </c>
      <c r="J52" s="111"/>
      <c r="K52" s="112"/>
      <c r="L52" s="113"/>
    </row>
    <row r="53" spans="1:12" x14ac:dyDescent="0.25">
      <c r="A53" s="32" t="s">
        <v>88</v>
      </c>
      <c r="B53" s="8" t="s">
        <v>37</v>
      </c>
      <c r="C53" s="9"/>
      <c r="D53" s="89"/>
      <c r="E53" s="95"/>
      <c r="F53" s="67"/>
      <c r="G53" s="109">
        <f>SUM(G54:G67)</f>
        <v>265802.23</v>
      </c>
      <c r="H53" s="114"/>
      <c r="I53" s="146">
        <f t="shared" si="5"/>
        <v>0.18679668309500896</v>
      </c>
      <c r="J53" s="111"/>
      <c r="K53" s="112"/>
      <c r="L53" s="113"/>
    </row>
    <row r="54" spans="1:12" x14ac:dyDescent="0.25">
      <c r="A54" s="33" t="s">
        <v>89</v>
      </c>
      <c r="B54" s="10" t="s">
        <v>39</v>
      </c>
      <c r="C54" s="9" t="s">
        <v>26</v>
      </c>
      <c r="D54" s="89">
        <v>48</v>
      </c>
      <c r="E54" s="95">
        <v>641.26</v>
      </c>
      <c r="F54" s="67"/>
      <c r="G54" s="95">
        <v>30780.48</v>
      </c>
      <c r="H54" s="114"/>
      <c r="I54" s="146">
        <f t="shared" si="5"/>
        <v>2.1631464747576656E-2</v>
      </c>
      <c r="J54" s="111"/>
      <c r="K54" s="112"/>
      <c r="L54" s="113"/>
    </row>
    <row r="55" spans="1:12" x14ac:dyDescent="0.25">
      <c r="A55" s="33" t="s">
        <v>90</v>
      </c>
      <c r="B55" s="10" t="s">
        <v>41</v>
      </c>
      <c r="C55" s="9" t="s">
        <v>42</v>
      </c>
      <c r="D55" s="89">
        <v>1200</v>
      </c>
      <c r="E55" s="95">
        <v>8.64</v>
      </c>
      <c r="F55" s="67"/>
      <c r="G55" s="95">
        <v>10368</v>
      </c>
      <c r="H55" s="114"/>
      <c r="I55" s="146">
        <f t="shared" si="5"/>
        <v>7.2862744993864546E-3</v>
      </c>
      <c r="J55" s="111"/>
      <c r="K55" s="112"/>
      <c r="L55" s="113"/>
    </row>
    <row r="56" spans="1:12" x14ac:dyDescent="0.25">
      <c r="A56" s="33" t="s">
        <v>91</v>
      </c>
      <c r="B56" s="10" t="s">
        <v>44</v>
      </c>
      <c r="C56" s="9" t="s">
        <v>42</v>
      </c>
      <c r="D56" s="89">
        <v>2160</v>
      </c>
      <c r="E56" s="95">
        <v>9.66</v>
      </c>
      <c r="F56" s="67"/>
      <c r="G56" s="95">
        <v>20865.599999999999</v>
      </c>
      <c r="H56" s="114"/>
      <c r="I56" s="146">
        <f t="shared" si="5"/>
        <v>1.4663627430015239E-2</v>
      </c>
      <c r="J56" s="111"/>
      <c r="K56" s="112"/>
      <c r="L56" s="113"/>
    </row>
    <row r="57" spans="1:12" x14ac:dyDescent="0.25">
      <c r="A57" s="33" t="s">
        <v>92</v>
      </c>
      <c r="B57" s="10" t="s">
        <v>46</v>
      </c>
      <c r="C57" s="9" t="s">
        <v>42</v>
      </c>
      <c r="D57" s="89">
        <v>2160</v>
      </c>
      <c r="E57" s="95">
        <v>8.84</v>
      </c>
      <c r="F57" s="67"/>
      <c r="G57" s="95">
        <v>19094.400000000001</v>
      </c>
      <c r="H57" s="114"/>
      <c r="I57" s="146">
        <f t="shared" si="5"/>
        <v>1.3418888869703388E-2</v>
      </c>
      <c r="J57" s="111"/>
      <c r="K57" s="112"/>
      <c r="L57" s="113"/>
    </row>
    <row r="58" spans="1:12" x14ac:dyDescent="0.25">
      <c r="A58" s="33" t="s">
        <v>93</v>
      </c>
      <c r="B58" s="10" t="s">
        <v>48</v>
      </c>
      <c r="C58" s="9" t="s">
        <v>26</v>
      </c>
      <c r="D58" s="89">
        <v>96</v>
      </c>
      <c r="E58" s="95">
        <v>25.13</v>
      </c>
      <c r="F58" s="67"/>
      <c r="G58" s="95">
        <v>2412.48</v>
      </c>
      <c r="H58" s="114"/>
      <c r="I58" s="146">
        <f t="shared" si="5"/>
        <v>1.6954081311998297E-3</v>
      </c>
      <c r="J58" s="111"/>
      <c r="K58" s="112"/>
      <c r="L58" s="113"/>
    </row>
    <row r="59" spans="1:12" x14ac:dyDescent="0.25">
      <c r="A59" s="33" t="s">
        <v>94</v>
      </c>
      <c r="B59" s="10" t="s">
        <v>50</v>
      </c>
      <c r="C59" s="9" t="s">
        <v>26</v>
      </c>
      <c r="D59" s="89">
        <v>2.4</v>
      </c>
      <c r="E59" s="95">
        <v>900.01</v>
      </c>
      <c r="F59" s="67"/>
      <c r="G59" s="95">
        <v>2160.02</v>
      </c>
      <c r="H59" s="114"/>
      <c r="I59" s="146">
        <f t="shared" si="5"/>
        <v>1.517987909352308E-3</v>
      </c>
      <c r="J59" s="111"/>
      <c r="K59" s="112"/>
      <c r="L59" s="113"/>
    </row>
    <row r="60" spans="1:12" x14ac:dyDescent="0.25">
      <c r="A60" s="33" t="s">
        <v>95</v>
      </c>
      <c r="B60" s="10" t="s">
        <v>52</v>
      </c>
      <c r="C60" s="9" t="s">
        <v>26</v>
      </c>
      <c r="D60" s="89">
        <v>2.4</v>
      </c>
      <c r="E60" s="95">
        <v>1002.12</v>
      </c>
      <c r="F60" s="67"/>
      <c r="G60" s="95">
        <v>2405.09</v>
      </c>
      <c r="H60" s="114"/>
      <c r="I60" s="146">
        <f t="shared" si="5"/>
        <v>1.690214692875132E-3</v>
      </c>
      <c r="J60" s="111"/>
      <c r="K60" s="112"/>
      <c r="L60" s="113"/>
    </row>
    <row r="61" spans="1:12" x14ac:dyDescent="0.25">
      <c r="A61" s="33" t="s">
        <v>96</v>
      </c>
      <c r="B61" s="10" t="s">
        <v>54</v>
      </c>
      <c r="C61" s="9" t="s">
        <v>26</v>
      </c>
      <c r="D61" s="89">
        <v>60</v>
      </c>
      <c r="E61" s="95">
        <v>1037.21</v>
      </c>
      <c r="F61" s="67"/>
      <c r="G61" s="95">
        <v>62232.6</v>
      </c>
      <c r="H61" s="114"/>
      <c r="I61" s="146">
        <f t="shared" si="5"/>
        <v>4.3734935031878613E-2</v>
      </c>
      <c r="J61" s="111"/>
      <c r="K61" s="112"/>
      <c r="L61" s="113"/>
    </row>
    <row r="62" spans="1:12" x14ac:dyDescent="0.25">
      <c r="A62" s="33" t="s">
        <v>97</v>
      </c>
      <c r="B62" s="10" t="s">
        <v>56</v>
      </c>
      <c r="C62" s="9" t="s">
        <v>57</v>
      </c>
      <c r="D62" s="89">
        <v>60</v>
      </c>
      <c r="E62" s="95">
        <v>45.3</v>
      </c>
      <c r="F62" s="67"/>
      <c r="G62" s="95">
        <v>2718</v>
      </c>
      <c r="H62" s="114"/>
      <c r="I62" s="146">
        <f t="shared" si="5"/>
        <v>1.9101170996655462E-3</v>
      </c>
      <c r="J62" s="111"/>
      <c r="K62" s="112"/>
      <c r="L62" s="113"/>
    </row>
    <row r="63" spans="1:12" ht="25.5" x14ac:dyDescent="0.25">
      <c r="A63" s="33" t="s">
        <v>98</v>
      </c>
      <c r="B63" s="10" t="s">
        <v>59</v>
      </c>
      <c r="C63" s="9" t="s">
        <v>20</v>
      </c>
      <c r="D63" s="89">
        <v>120</v>
      </c>
      <c r="E63" s="95">
        <v>106.17</v>
      </c>
      <c r="F63" s="67"/>
      <c r="G63" s="95">
        <v>12740.4</v>
      </c>
      <c r="H63" s="114"/>
      <c r="I63" s="146">
        <f t="shared" si="5"/>
        <v>8.9535157824057847E-3</v>
      </c>
      <c r="J63" s="111"/>
      <c r="K63" s="112"/>
      <c r="L63" s="113"/>
    </row>
    <row r="64" spans="1:12" ht="25.5" x14ac:dyDescent="0.25">
      <c r="A64" s="33" t="s">
        <v>99</v>
      </c>
      <c r="B64" s="10" t="s">
        <v>61</v>
      </c>
      <c r="C64" s="9" t="s">
        <v>26</v>
      </c>
      <c r="D64" s="89">
        <v>96</v>
      </c>
      <c r="E64" s="95">
        <v>56.85</v>
      </c>
      <c r="F64" s="67"/>
      <c r="G64" s="95">
        <v>5457.6</v>
      </c>
      <c r="H64" s="114"/>
      <c r="I64" s="146">
        <f t="shared" si="5"/>
        <v>3.8354139378714812E-3</v>
      </c>
      <c r="J64" s="111"/>
      <c r="K64" s="112"/>
      <c r="L64" s="113"/>
    </row>
    <row r="65" spans="1:12" x14ac:dyDescent="0.25">
      <c r="A65" s="33" t="s">
        <v>100</v>
      </c>
      <c r="B65" s="10" t="s">
        <v>63</v>
      </c>
      <c r="C65" s="9" t="s">
        <v>20</v>
      </c>
      <c r="D65" s="89">
        <v>96</v>
      </c>
      <c r="E65" s="95">
        <v>76.84</v>
      </c>
      <c r="F65" s="67"/>
      <c r="G65" s="95">
        <v>7376.64</v>
      </c>
      <c r="H65" s="114"/>
      <c r="I65" s="146">
        <f t="shared" si="5"/>
        <v>5.1840493753042144E-3</v>
      </c>
      <c r="J65" s="111"/>
      <c r="K65" s="112"/>
      <c r="L65" s="113"/>
    </row>
    <row r="66" spans="1:12" x14ac:dyDescent="0.25">
      <c r="A66" s="33" t="s">
        <v>101</v>
      </c>
      <c r="B66" s="10" t="s">
        <v>65</v>
      </c>
      <c r="C66" s="9" t="s">
        <v>42</v>
      </c>
      <c r="D66" s="89">
        <v>1500</v>
      </c>
      <c r="E66" s="95">
        <v>11.15</v>
      </c>
      <c r="F66" s="67"/>
      <c r="G66" s="95">
        <v>16725</v>
      </c>
      <c r="H66" s="114"/>
      <c r="I66" s="146">
        <f t="shared" si="5"/>
        <v>1.1753755883703554E-2</v>
      </c>
      <c r="J66" s="111"/>
      <c r="K66" s="112"/>
      <c r="L66" s="113"/>
    </row>
    <row r="67" spans="1:12" x14ac:dyDescent="0.25">
      <c r="A67" s="33" t="s">
        <v>102</v>
      </c>
      <c r="B67" s="10" t="s">
        <v>67</v>
      </c>
      <c r="C67" s="9" t="s">
        <v>26</v>
      </c>
      <c r="D67" s="89">
        <v>96</v>
      </c>
      <c r="E67" s="95">
        <v>734.02</v>
      </c>
      <c r="F67" s="67"/>
      <c r="G67" s="95">
        <v>70465.919999999998</v>
      </c>
      <c r="H67" s="114"/>
      <c r="I67" s="146">
        <f t="shared" si="5"/>
        <v>4.9521029704070789E-2</v>
      </c>
      <c r="J67" s="111"/>
      <c r="K67" s="112"/>
      <c r="L67" s="113"/>
    </row>
    <row r="68" spans="1:12" x14ac:dyDescent="0.25">
      <c r="A68" s="32" t="s">
        <v>103</v>
      </c>
      <c r="B68" s="8" t="s">
        <v>69</v>
      </c>
      <c r="C68" s="9"/>
      <c r="D68" s="89"/>
      <c r="E68" s="95"/>
      <c r="F68" s="67"/>
      <c r="G68" s="109"/>
      <c r="H68" s="110">
        <f>G69+G71</f>
        <v>13911.67</v>
      </c>
      <c r="I68" s="149">
        <f>H68/$K$36</f>
        <v>9.7766441324150799E-3</v>
      </c>
      <c r="J68" s="111"/>
      <c r="K68" s="112"/>
      <c r="L68" s="113"/>
    </row>
    <row r="69" spans="1:12" x14ac:dyDescent="0.25">
      <c r="A69" s="32" t="s">
        <v>104</v>
      </c>
      <c r="B69" s="8" t="s">
        <v>71</v>
      </c>
      <c r="C69" s="9"/>
      <c r="D69" s="89"/>
      <c r="E69" s="95"/>
      <c r="F69" s="67"/>
      <c r="G69" s="109">
        <f>G70</f>
        <v>10661.95</v>
      </c>
      <c r="H69" s="114"/>
      <c r="I69" s="146">
        <f>G69/$K$36</f>
        <v>7.4928524690136391E-3</v>
      </c>
      <c r="J69" s="111"/>
      <c r="K69" s="112"/>
      <c r="L69" s="113"/>
    </row>
    <row r="70" spans="1:12" x14ac:dyDescent="0.25">
      <c r="A70" s="33" t="s">
        <v>105</v>
      </c>
      <c r="B70" s="10" t="s">
        <v>73</v>
      </c>
      <c r="C70" s="9" t="s">
        <v>57</v>
      </c>
      <c r="D70" s="89">
        <v>349</v>
      </c>
      <c r="E70" s="95">
        <v>30.55</v>
      </c>
      <c r="F70" s="67"/>
      <c r="G70" s="95">
        <v>10661.95</v>
      </c>
      <c r="H70" s="114"/>
      <c r="I70" s="146">
        <f t="shared" ref="I70:I72" si="6">G70/$K$36</f>
        <v>7.4928524690136391E-3</v>
      </c>
      <c r="J70" s="111"/>
      <c r="K70" s="112"/>
      <c r="L70" s="113"/>
    </row>
    <row r="71" spans="1:12" x14ac:dyDescent="0.25">
      <c r="A71" s="32" t="s">
        <v>106</v>
      </c>
      <c r="B71" s="8" t="s">
        <v>75</v>
      </c>
      <c r="C71" s="9"/>
      <c r="D71" s="89"/>
      <c r="E71" s="95"/>
      <c r="F71" s="67"/>
      <c r="G71" s="109">
        <f>G72</f>
        <v>3249.72</v>
      </c>
      <c r="H71" s="114"/>
      <c r="I71" s="146">
        <f t="shared" si="6"/>
        <v>2.2837916634014417E-3</v>
      </c>
      <c r="J71" s="111"/>
      <c r="K71" s="112"/>
      <c r="L71" s="113"/>
    </row>
    <row r="72" spans="1:12" ht="25.5" x14ac:dyDescent="0.25">
      <c r="A72" s="33" t="s">
        <v>107</v>
      </c>
      <c r="B72" s="10" t="s">
        <v>77</v>
      </c>
      <c r="C72" s="9" t="s">
        <v>26</v>
      </c>
      <c r="D72" s="89">
        <v>1.9</v>
      </c>
      <c r="E72" s="95">
        <v>1710.38</v>
      </c>
      <c r="F72" s="67"/>
      <c r="G72" s="95">
        <v>3249.72</v>
      </c>
      <c r="H72" s="114"/>
      <c r="I72" s="146">
        <f t="shared" si="6"/>
        <v>2.2837916634014417E-3</v>
      </c>
      <c r="J72" s="111"/>
      <c r="K72" s="112"/>
      <c r="L72" s="113"/>
    </row>
    <row r="73" spans="1:12" x14ac:dyDescent="0.25">
      <c r="A73" s="33"/>
      <c r="B73" s="10"/>
      <c r="C73" s="9"/>
      <c r="D73" s="89"/>
      <c r="E73" s="95"/>
      <c r="F73" s="67"/>
      <c r="G73" s="95"/>
      <c r="H73" s="114"/>
      <c r="I73" s="149"/>
      <c r="J73" s="111"/>
      <c r="K73" s="112"/>
      <c r="L73" s="113"/>
    </row>
    <row r="74" spans="1:12" x14ac:dyDescent="0.25">
      <c r="A74" s="32">
        <v>3</v>
      </c>
      <c r="B74" s="8" t="s">
        <v>290</v>
      </c>
      <c r="C74" s="9"/>
      <c r="D74" s="89"/>
      <c r="E74" s="95"/>
      <c r="F74" s="67"/>
      <c r="G74" s="109"/>
      <c r="H74" s="114"/>
      <c r="I74" s="149"/>
      <c r="J74" s="111"/>
      <c r="K74" s="112">
        <f>SUM(H74:H130)</f>
        <v>2394136.9</v>
      </c>
      <c r="L74" s="115">
        <f>K74/$G$211</f>
        <v>0.43030750555672886</v>
      </c>
    </row>
    <row r="75" spans="1:12" x14ac:dyDescent="0.25">
      <c r="A75" s="32" t="s">
        <v>109</v>
      </c>
      <c r="B75" s="8" t="s">
        <v>15</v>
      </c>
      <c r="C75" s="9"/>
      <c r="D75" s="89"/>
      <c r="E75" s="95"/>
      <c r="F75" s="67"/>
      <c r="G75" s="109"/>
      <c r="H75" s="110">
        <f>G76+G81</f>
        <v>62894.42</v>
      </c>
      <c r="I75" s="149">
        <f>H75/$K$74</f>
        <v>2.6270185301433682E-2</v>
      </c>
      <c r="J75" s="111"/>
      <c r="K75" s="112"/>
      <c r="L75" s="113"/>
    </row>
    <row r="76" spans="1:12" x14ac:dyDescent="0.25">
      <c r="A76" s="32" t="s">
        <v>110</v>
      </c>
      <c r="B76" s="8" t="s">
        <v>17</v>
      </c>
      <c r="C76" s="9"/>
      <c r="D76" s="89"/>
      <c r="E76" s="95"/>
      <c r="F76" s="67"/>
      <c r="G76" s="109">
        <f>SUM(G77:G80)</f>
        <v>58929.85</v>
      </c>
      <c r="H76" s="114"/>
      <c r="I76" s="146">
        <f>G76/$K$74</f>
        <v>2.4614235718934872E-2</v>
      </c>
      <c r="J76" s="111"/>
      <c r="K76" s="112"/>
      <c r="L76" s="113"/>
    </row>
    <row r="77" spans="1:12" x14ac:dyDescent="0.25">
      <c r="A77" s="33" t="s">
        <v>111</v>
      </c>
      <c r="B77" s="10" t="s">
        <v>19</v>
      </c>
      <c r="C77" s="9" t="s">
        <v>20</v>
      </c>
      <c r="D77" s="89">
        <v>2148</v>
      </c>
      <c r="E77" s="95">
        <v>4.38</v>
      </c>
      <c r="F77" s="67"/>
      <c r="G77" s="95">
        <v>9408.24</v>
      </c>
      <c r="H77" s="114"/>
      <c r="I77" s="146">
        <f t="shared" ref="I77:I87" si="7">G77/$K$74</f>
        <v>3.9297000935911396E-3</v>
      </c>
      <c r="J77" s="111"/>
      <c r="K77" s="112"/>
      <c r="L77" s="113"/>
    </row>
    <row r="78" spans="1:12" x14ac:dyDescent="0.25">
      <c r="A78" s="33" t="s">
        <v>112</v>
      </c>
      <c r="B78" s="10" t="s">
        <v>22</v>
      </c>
      <c r="C78" s="9" t="s">
        <v>23</v>
      </c>
      <c r="D78" s="89">
        <v>53.7</v>
      </c>
      <c r="E78" s="95">
        <v>217.25</v>
      </c>
      <c r="F78" s="67"/>
      <c r="G78" s="95">
        <v>11666.33</v>
      </c>
      <c r="H78" s="114"/>
      <c r="I78" s="146">
        <f t="shared" si="7"/>
        <v>4.8728750640784158E-3</v>
      </c>
      <c r="J78" s="111"/>
      <c r="K78" s="112"/>
      <c r="L78" s="113"/>
    </row>
    <row r="79" spans="1:12" x14ac:dyDescent="0.25">
      <c r="A79" s="33" t="s">
        <v>113</v>
      </c>
      <c r="B79" s="10" t="s">
        <v>25</v>
      </c>
      <c r="C79" s="9" t="s">
        <v>26</v>
      </c>
      <c r="D79" s="89">
        <v>644.4</v>
      </c>
      <c r="E79" s="95">
        <v>17.54</v>
      </c>
      <c r="F79" s="67"/>
      <c r="G79" s="95">
        <v>11302.78</v>
      </c>
      <c r="H79" s="114"/>
      <c r="I79" s="146">
        <f t="shared" si="7"/>
        <v>4.721024933870741E-3</v>
      </c>
      <c r="J79" s="111"/>
      <c r="K79" s="112"/>
      <c r="L79" s="113"/>
    </row>
    <row r="80" spans="1:12" x14ac:dyDescent="0.25">
      <c r="A80" s="33" t="s">
        <v>114</v>
      </c>
      <c r="B80" s="10" t="s">
        <v>28</v>
      </c>
      <c r="C80" s="9" t="s">
        <v>29</v>
      </c>
      <c r="D80" s="89">
        <v>12952.44</v>
      </c>
      <c r="E80" s="95">
        <v>2.0499999999999998</v>
      </c>
      <c r="F80" s="67"/>
      <c r="G80" s="95">
        <v>26552.5</v>
      </c>
      <c r="H80" s="114"/>
      <c r="I80" s="146">
        <f t="shared" si="7"/>
        <v>1.1090635627394574E-2</v>
      </c>
      <c r="J80" s="111"/>
      <c r="K80" s="112"/>
      <c r="L80" s="113"/>
    </row>
    <row r="81" spans="1:12" x14ac:dyDescent="0.25">
      <c r="A81" s="32" t="s">
        <v>291</v>
      </c>
      <c r="B81" s="8" t="s">
        <v>279</v>
      </c>
      <c r="C81" s="9"/>
      <c r="D81" s="89"/>
      <c r="E81" s="95"/>
      <c r="F81" s="67"/>
      <c r="G81" s="109">
        <f>SUM(G82:G87)</f>
        <v>3964.5699999999997</v>
      </c>
      <c r="H81" s="114"/>
      <c r="I81" s="146">
        <f t="shared" si="7"/>
        <v>1.6559495824988119E-3</v>
      </c>
      <c r="J81" s="111"/>
      <c r="K81" s="112"/>
      <c r="L81" s="113"/>
    </row>
    <row r="82" spans="1:12" x14ac:dyDescent="0.25">
      <c r="A82" s="33" t="s">
        <v>292</v>
      </c>
      <c r="B82" s="10" t="s">
        <v>281</v>
      </c>
      <c r="C82" s="9" t="s">
        <v>26</v>
      </c>
      <c r="D82" s="89">
        <v>24.6</v>
      </c>
      <c r="E82" s="95">
        <v>54.08</v>
      </c>
      <c r="F82" s="67"/>
      <c r="G82" s="95">
        <v>1330.37</v>
      </c>
      <c r="H82" s="114"/>
      <c r="I82" s="146">
        <f t="shared" si="7"/>
        <v>5.5567833234599067E-4</v>
      </c>
      <c r="J82" s="111"/>
      <c r="K82" s="112"/>
      <c r="L82" s="113"/>
    </row>
    <row r="83" spans="1:12" x14ac:dyDescent="0.25">
      <c r="A83" s="33" t="s">
        <v>293</v>
      </c>
      <c r="B83" s="10" t="s">
        <v>283</v>
      </c>
      <c r="C83" s="9" t="s">
        <v>26</v>
      </c>
      <c r="D83" s="89">
        <v>6.15</v>
      </c>
      <c r="E83" s="95">
        <v>78.37</v>
      </c>
      <c r="F83" s="67"/>
      <c r="G83" s="95">
        <v>481.98</v>
      </c>
      <c r="H83" s="114"/>
      <c r="I83" s="146">
        <f t="shared" si="7"/>
        <v>2.0131680857514875E-4</v>
      </c>
      <c r="J83" s="111"/>
      <c r="K83" s="112"/>
      <c r="L83" s="113"/>
    </row>
    <row r="84" spans="1:12" x14ac:dyDescent="0.25">
      <c r="A84" s="33" t="s">
        <v>294</v>
      </c>
      <c r="B84" s="10" t="s">
        <v>285</v>
      </c>
      <c r="C84" s="9" t="s">
        <v>26</v>
      </c>
      <c r="D84" s="89">
        <v>2.15</v>
      </c>
      <c r="E84" s="95">
        <v>168.28</v>
      </c>
      <c r="F84" s="67"/>
      <c r="G84" s="95">
        <v>362.22</v>
      </c>
      <c r="H84" s="114"/>
      <c r="I84" s="146">
        <f t="shared" si="7"/>
        <v>1.5129460641954103E-4</v>
      </c>
      <c r="J84" s="111"/>
      <c r="K84" s="112"/>
      <c r="L84" s="113"/>
    </row>
    <row r="85" spans="1:12" x14ac:dyDescent="0.25">
      <c r="A85" s="33" t="s">
        <v>295</v>
      </c>
      <c r="B85" s="10" t="s">
        <v>287</v>
      </c>
      <c r="C85" s="9" t="s">
        <v>20</v>
      </c>
      <c r="D85" s="89">
        <v>32.799999999999997</v>
      </c>
      <c r="E85" s="95">
        <v>6.36</v>
      </c>
      <c r="F85" s="67"/>
      <c r="G85" s="95">
        <v>208.61</v>
      </c>
      <c r="H85" s="114"/>
      <c r="I85" s="146">
        <f t="shared" si="7"/>
        <v>8.7133697325328402E-5</v>
      </c>
      <c r="J85" s="111"/>
      <c r="K85" s="112"/>
      <c r="L85" s="113"/>
    </row>
    <row r="86" spans="1:12" x14ac:dyDescent="0.25">
      <c r="A86" s="33" t="s">
        <v>296</v>
      </c>
      <c r="B86" s="10" t="s">
        <v>25</v>
      </c>
      <c r="C86" s="9" t="s">
        <v>26</v>
      </c>
      <c r="D86" s="89">
        <v>32.799999999999997</v>
      </c>
      <c r="E86" s="95">
        <v>17.54</v>
      </c>
      <c r="F86" s="67"/>
      <c r="G86" s="95">
        <v>575.30999999999995</v>
      </c>
      <c r="H86" s="114"/>
      <c r="I86" s="146">
        <f t="shared" si="7"/>
        <v>2.4029954176805845E-4</v>
      </c>
      <c r="J86" s="111"/>
      <c r="K86" s="112"/>
      <c r="L86" s="113"/>
    </row>
    <row r="87" spans="1:12" x14ac:dyDescent="0.25">
      <c r="A87" s="33" t="s">
        <v>297</v>
      </c>
      <c r="B87" s="10" t="s">
        <v>28</v>
      </c>
      <c r="C87" s="9" t="s">
        <v>29</v>
      </c>
      <c r="D87" s="89">
        <v>490.77</v>
      </c>
      <c r="E87" s="95">
        <v>2.0499999999999998</v>
      </c>
      <c r="F87" s="67"/>
      <c r="G87" s="95">
        <v>1006.08</v>
      </c>
      <c r="H87" s="114"/>
      <c r="I87" s="146">
        <f t="shared" si="7"/>
        <v>4.2022659606474471E-4</v>
      </c>
      <c r="J87" s="111"/>
      <c r="K87" s="112"/>
      <c r="L87" s="113"/>
    </row>
    <row r="88" spans="1:12" x14ac:dyDescent="0.25">
      <c r="A88" s="32" t="s">
        <v>115</v>
      </c>
      <c r="B88" s="8" t="s">
        <v>31</v>
      </c>
      <c r="C88" s="9"/>
      <c r="D88" s="89"/>
      <c r="E88" s="95"/>
      <c r="F88" s="67"/>
      <c r="G88" s="109"/>
      <c r="H88" s="110">
        <f>G89+G106+G91</f>
        <v>2313470.09</v>
      </c>
      <c r="I88" s="149">
        <f>H88/$K$74</f>
        <v>0.9663065173925518</v>
      </c>
      <c r="J88" s="111"/>
      <c r="K88" s="112"/>
      <c r="L88" s="113"/>
    </row>
    <row r="89" spans="1:12" x14ac:dyDescent="0.25">
      <c r="A89" s="32" t="s">
        <v>116</v>
      </c>
      <c r="B89" s="8" t="s">
        <v>33</v>
      </c>
      <c r="C89" s="9"/>
      <c r="D89" s="89"/>
      <c r="E89" s="95"/>
      <c r="F89" s="67"/>
      <c r="G89" s="109">
        <f>G90</f>
        <v>1284533.44</v>
      </c>
      <c r="H89" s="114"/>
      <c r="I89" s="146">
        <f>G89/$K$74</f>
        <v>0.53653299441648472</v>
      </c>
      <c r="J89" s="111"/>
      <c r="K89" s="112"/>
      <c r="L89" s="113"/>
    </row>
    <row r="90" spans="1:12" ht="25.5" x14ac:dyDescent="0.25">
      <c r="A90" s="33" t="s">
        <v>117</v>
      </c>
      <c r="B90" s="10" t="s">
        <v>35</v>
      </c>
      <c r="C90" s="9" t="s">
        <v>20</v>
      </c>
      <c r="D90" s="89">
        <v>1702</v>
      </c>
      <c r="E90" s="95">
        <v>754.72</v>
      </c>
      <c r="F90" s="67"/>
      <c r="G90" s="95">
        <v>1284533.44</v>
      </c>
      <c r="H90" s="114"/>
      <c r="I90" s="146">
        <f t="shared" ref="I90:I125" si="8">G90/$K$74</f>
        <v>0.53653299441648472</v>
      </c>
      <c r="J90" s="111"/>
      <c r="K90" s="112"/>
      <c r="L90" s="113"/>
    </row>
    <row r="91" spans="1:12" x14ac:dyDescent="0.25">
      <c r="A91" s="32" t="s">
        <v>118</v>
      </c>
      <c r="B91" s="8" t="s">
        <v>37</v>
      </c>
      <c r="C91" s="9"/>
      <c r="D91" s="89"/>
      <c r="E91" s="95"/>
      <c r="F91" s="67"/>
      <c r="G91" s="109">
        <f>SUM(G92:G105)</f>
        <v>883792.42999999993</v>
      </c>
      <c r="H91" s="114"/>
      <c r="I91" s="146">
        <f t="shared" si="8"/>
        <v>0.36914866063005836</v>
      </c>
      <c r="J91" s="111"/>
      <c r="K91" s="112"/>
      <c r="L91" s="113"/>
    </row>
    <row r="92" spans="1:12" x14ac:dyDescent="0.25">
      <c r="A92" s="33" t="s">
        <v>120</v>
      </c>
      <c r="B92" s="10" t="s">
        <v>39</v>
      </c>
      <c r="C92" s="9" t="s">
        <v>26</v>
      </c>
      <c r="D92" s="89">
        <v>159.6</v>
      </c>
      <c r="E92" s="95">
        <v>641.26</v>
      </c>
      <c r="F92" s="67"/>
      <c r="G92" s="95">
        <v>102345.1</v>
      </c>
      <c r="H92" s="114"/>
      <c r="I92" s="146">
        <f t="shared" si="8"/>
        <v>4.2748223796224859E-2</v>
      </c>
      <c r="J92" s="111"/>
      <c r="K92" s="112"/>
      <c r="L92" s="113"/>
    </row>
    <row r="93" spans="1:12" x14ac:dyDescent="0.25">
      <c r="A93" s="33" t="s">
        <v>122</v>
      </c>
      <c r="B93" s="10" t="s">
        <v>41</v>
      </c>
      <c r="C93" s="9" t="s">
        <v>42</v>
      </c>
      <c r="D93" s="89">
        <v>3990</v>
      </c>
      <c r="E93" s="95">
        <v>8.64</v>
      </c>
      <c r="F93" s="67"/>
      <c r="G93" s="95">
        <v>34473.599999999999</v>
      </c>
      <c r="H93" s="114"/>
      <c r="I93" s="146">
        <f t="shared" si="8"/>
        <v>1.4399176588439868E-2</v>
      </c>
      <c r="J93" s="111"/>
      <c r="K93" s="112"/>
      <c r="L93" s="113"/>
    </row>
    <row r="94" spans="1:12" x14ac:dyDescent="0.25">
      <c r="A94" s="33" t="s">
        <v>124</v>
      </c>
      <c r="B94" s="10" t="s">
        <v>44</v>
      </c>
      <c r="C94" s="9" t="s">
        <v>42</v>
      </c>
      <c r="D94" s="89">
        <v>7182</v>
      </c>
      <c r="E94" s="95">
        <v>9.66</v>
      </c>
      <c r="F94" s="67"/>
      <c r="G94" s="95">
        <v>69378.12</v>
      </c>
      <c r="H94" s="114"/>
      <c r="I94" s="146">
        <f t="shared" si="8"/>
        <v>2.8978342884235231E-2</v>
      </c>
      <c r="J94" s="111"/>
      <c r="K94" s="112"/>
      <c r="L94" s="113"/>
    </row>
    <row r="95" spans="1:12" x14ac:dyDescent="0.25">
      <c r="A95" s="33" t="s">
        <v>298</v>
      </c>
      <c r="B95" s="10" t="s">
        <v>46</v>
      </c>
      <c r="C95" s="9" t="s">
        <v>42</v>
      </c>
      <c r="D95" s="89">
        <v>7182</v>
      </c>
      <c r="E95" s="95">
        <v>8.84</v>
      </c>
      <c r="F95" s="67"/>
      <c r="G95" s="95">
        <v>63488.88</v>
      </c>
      <c r="H95" s="114"/>
      <c r="I95" s="146">
        <f t="shared" si="8"/>
        <v>2.6518483550376757E-2</v>
      </c>
      <c r="J95" s="111"/>
      <c r="K95" s="112"/>
      <c r="L95" s="113"/>
    </row>
    <row r="96" spans="1:12" x14ac:dyDescent="0.25">
      <c r="A96" s="33" t="s">
        <v>299</v>
      </c>
      <c r="B96" s="10" t="s">
        <v>48</v>
      </c>
      <c r="C96" s="9" t="s">
        <v>26</v>
      </c>
      <c r="D96" s="89">
        <v>319.2</v>
      </c>
      <c r="E96" s="95">
        <v>25.13</v>
      </c>
      <c r="F96" s="67"/>
      <c r="G96" s="95">
        <v>8021.5</v>
      </c>
      <c r="H96" s="114"/>
      <c r="I96" s="146">
        <f t="shared" si="8"/>
        <v>3.3504767417435488E-3</v>
      </c>
      <c r="J96" s="111"/>
      <c r="K96" s="112"/>
      <c r="L96" s="113"/>
    </row>
    <row r="97" spans="1:12" x14ac:dyDescent="0.25">
      <c r="A97" s="33" t="s">
        <v>300</v>
      </c>
      <c r="B97" s="10" t="s">
        <v>50</v>
      </c>
      <c r="C97" s="9" t="s">
        <v>26</v>
      </c>
      <c r="D97" s="89">
        <v>7.98</v>
      </c>
      <c r="E97" s="95">
        <v>900.01</v>
      </c>
      <c r="F97" s="67"/>
      <c r="G97" s="95">
        <v>7182.08</v>
      </c>
      <c r="H97" s="114"/>
      <c r="I97" s="146">
        <f t="shared" si="8"/>
        <v>2.9998618708896724E-3</v>
      </c>
      <c r="J97" s="111"/>
      <c r="K97" s="112"/>
      <c r="L97" s="113"/>
    </row>
    <row r="98" spans="1:12" x14ac:dyDescent="0.25">
      <c r="A98" s="33" t="s">
        <v>301</v>
      </c>
      <c r="B98" s="10" t="s">
        <v>52</v>
      </c>
      <c r="C98" s="9" t="s">
        <v>26</v>
      </c>
      <c r="D98" s="89">
        <v>7.98</v>
      </c>
      <c r="E98" s="95">
        <v>1002.12</v>
      </c>
      <c r="F98" s="67"/>
      <c r="G98" s="95">
        <v>7996.92</v>
      </c>
      <c r="H98" s="114"/>
      <c r="I98" s="146">
        <f t="shared" si="8"/>
        <v>3.3402099938395339E-3</v>
      </c>
      <c r="J98" s="111"/>
      <c r="K98" s="112"/>
      <c r="L98" s="113"/>
    </row>
    <row r="99" spans="1:12" x14ac:dyDescent="0.25">
      <c r="A99" s="33" t="s">
        <v>302</v>
      </c>
      <c r="B99" s="10" t="s">
        <v>54</v>
      </c>
      <c r="C99" s="9" t="s">
        <v>26</v>
      </c>
      <c r="D99" s="89">
        <v>199.5</v>
      </c>
      <c r="E99" s="95">
        <v>1037.21</v>
      </c>
      <c r="F99" s="67"/>
      <c r="G99" s="95">
        <v>206923.39</v>
      </c>
      <c r="H99" s="114"/>
      <c r="I99" s="146">
        <f t="shared" si="8"/>
        <v>8.6429222155174179E-2</v>
      </c>
      <c r="J99" s="111"/>
      <c r="K99" s="112"/>
      <c r="L99" s="113"/>
    </row>
    <row r="100" spans="1:12" x14ac:dyDescent="0.25">
      <c r="A100" s="33" t="s">
        <v>303</v>
      </c>
      <c r="B100" s="10" t="s">
        <v>56</v>
      </c>
      <c r="C100" s="9" t="s">
        <v>57</v>
      </c>
      <c r="D100" s="89">
        <v>199.5</v>
      </c>
      <c r="E100" s="95">
        <v>45.3</v>
      </c>
      <c r="F100" s="67"/>
      <c r="G100" s="95">
        <v>9037.35</v>
      </c>
      <c r="H100" s="114"/>
      <c r="I100" s="146">
        <f t="shared" si="8"/>
        <v>3.774784140372257E-3</v>
      </c>
      <c r="J100" s="111"/>
      <c r="K100" s="112"/>
      <c r="L100" s="113"/>
    </row>
    <row r="101" spans="1:12" ht="25.5" x14ac:dyDescent="0.25">
      <c r="A101" s="33" t="s">
        <v>304</v>
      </c>
      <c r="B101" s="10" t="s">
        <v>59</v>
      </c>
      <c r="C101" s="9" t="s">
        <v>20</v>
      </c>
      <c r="D101" s="89">
        <v>399</v>
      </c>
      <c r="E101" s="95">
        <v>106.17</v>
      </c>
      <c r="F101" s="67"/>
      <c r="G101" s="95">
        <v>42361.83</v>
      </c>
      <c r="H101" s="114"/>
      <c r="I101" s="146">
        <f t="shared" si="8"/>
        <v>1.769398817586413E-2</v>
      </c>
      <c r="J101" s="111"/>
      <c r="K101" s="112"/>
      <c r="L101" s="113"/>
    </row>
    <row r="102" spans="1:12" ht="25.5" x14ac:dyDescent="0.25">
      <c r="A102" s="33" t="s">
        <v>305</v>
      </c>
      <c r="B102" s="10" t="s">
        <v>61</v>
      </c>
      <c r="C102" s="9" t="s">
        <v>26</v>
      </c>
      <c r="D102" s="89">
        <v>319.2</v>
      </c>
      <c r="E102" s="95">
        <v>56.85</v>
      </c>
      <c r="F102" s="67"/>
      <c r="G102" s="95">
        <v>18146.52</v>
      </c>
      <c r="H102" s="114"/>
      <c r="I102" s="146">
        <f t="shared" si="8"/>
        <v>7.5795665653037641E-3</v>
      </c>
      <c r="J102" s="111"/>
      <c r="K102" s="112"/>
      <c r="L102" s="113"/>
    </row>
    <row r="103" spans="1:12" x14ac:dyDescent="0.25">
      <c r="A103" s="33" t="s">
        <v>306</v>
      </c>
      <c r="B103" s="10" t="s">
        <v>63</v>
      </c>
      <c r="C103" s="9" t="s">
        <v>20</v>
      </c>
      <c r="D103" s="89">
        <v>319.2</v>
      </c>
      <c r="E103" s="95">
        <v>76.84</v>
      </c>
      <c r="F103" s="67"/>
      <c r="G103" s="95">
        <v>24527.33</v>
      </c>
      <c r="H103" s="114"/>
      <c r="I103" s="146">
        <f t="shared" si="8"/>
        <v>1.0244748326630779E-2</v>
      </c>
      <c r="J103" s="111"/>
      <c r="K103" s="112"/>
      <c r="L103" s="113"/>
    </row>
    <row r="104" spans="1:12" x14ac:dyDescent="0.25">
      <c r="A104" s="33" t="s">
        <v>307</v>
      </c>
      <c r="B104" s="10" t="s">
        <v>65</v>
      </c>
      <c r="C104" s="9" t="s">
        <v>42</v>
      </c>
      <c r="D104" s="89">
        <v>4987.5</v>
      </c>
      <c r="E104" s="95">
        <v>11.15</v>
      </c>
      <c r="F104" s="67"/>
      <c r="G104" s="95">
        <v>55610.63</v>
      </c>
      <c r="H104" s="114"/>
      <c r="I104" s="146">
        <f t="shared" si="8"/>
        <v>2.3227840479798794E-2</v>
      </c>
      <c r="J104" s="111"/>
      <c r="K104" s="112"/>
      <c r="L104" s="113"/>
    </row>
    <row r="105" spans="1:12" x14ac:dyDescent="0.25">
      <c r="A105" s="33" t="s">
        <v>308</v>
      </c>
      <c r="B105" s="10" t="s">
        <v>67</v>
      </c>
      <c r="C105" s="9" t="s">
        <v>26</v>
      </c>
      <c r="D105" s="89">
        <v>319.2</v>
      </c>
      <c r="E105" s="95">
        <v>734.02</v>
      </c>
      <c r="F105" s="67"/>
      <c r="G105" s="95">
        <v>234299.18</v>
      </c>
      <c r="H105" s="114"/>
      <c r="I105" s="146">
        <f t="shared" si="8"/>
        <v>9.7863735361165022E-2</v>
      </c>
      <c r="J105" s="111"/>
      <c r="K105" s="112"/>
      <c r="L105" s="113"/>
    </row>
    <row r="106" spans="1:12" x14ac:dyDescent="0.25">
      <c r="A106" s="32" t="s">
        <v>309</v>
      </c>
      <c r="B106" s="8" t="s">
        <v>144</v>
      </c>
      <c r="C106" s="9"/>
      <c r="D106" s="89"/>
      <c r="E106" s="95"/>
      <c r="F106" s="67"/>
      <c r="G106" s="109">
        <f>G107+G113</f>
        <v>145144.21999999997</v>
      </c>
      <c r="H106" s="114"/>
      <c r="I106" s="146">
        <f t="shared" si="8"/>
        <v>6.0624862346008696E-2</v>
      </c>
      <c r="J106" s="111"/>
      <c r="K106" s="112"/>
      <c r="L106" s="113"/>
    </row>
    <row r="107" spans="1:12" x14ac:dyDescent="0.25">
      <c r="A107" s="32" t="s">
        <v>310</v>
      </c>
      <c r="B107" s="8" t="s">
        <v>146</v>
      </c>
      <c r="C107" s="9"/>
      <c r="D107" s="89"/>
      <c r="E107" s="95"/>
      <c r="F107" s="67"/>
      <c r="G107" s="109">
        <f>SUM(G108:G112)</f>
        <v>66942.97</v>
      </c>
      <c r="H107" s="114"/>
      <c r="I107" s="146">
        <f t="shared" si="8"/>
        <v>2.7961212243126116E-2</v>
      </c>
      <c r="J107" s="111"/>
      <c r="K107" s="112"/>
      <c r="L107" s="113"/>
    </row>
    <row r="108" spans="1:12" ht="25.5" x14ac:dyDescent="0.25">
      <c r="A108" s="33" t="s">
        <v>311</v>
      </c>
      <c r="B108" s="10" t="s">
        <v>148</v>
      </c>
      <c r="C108" s="9" t="s">
        <v>149</v>
      </c>
      <c r="D108" s="89">
        <v>79.900000000000006</v>
      </c>
      <c r="E108" s="95">
        <v>238.49</v>
      </c>
      <c r="F108" s="67"/>
      <c r="G108" s="95">
        <v>19055.349999999999</v>
      </c>
      <c r="H108" s="114"/>
      <c r="I108" s="146">
        <f t="shared" si="8"/>
        <v>7.9591730949053075E-3</v>
      </c>
      <c r="J108" s="111"/>
      <c r="K108" s="112"/>
      <c r="L108" s="113"/>
    </row>
    <row r="109" spans="1:12" ht="25.5" x14ac:dyDescent="0.25">
      <c r="A109" s="33" t="s">
        <v>312</v>
      </c>
      <c r="B109" s="10" t="s">
        <v>151</v>
      </c>
      <c r="C109" s="9" t="s">
        <v>57</v>
      </c>
      <c r="D109" s="89">
        <v>141</v>
      </c>
      <c r="E109" s="95">
        <v>337.82</v>
      </c>
      <c r="F109" s="67"/>
      <c r="G109" s="95">
        <v>47632.62</v>
      </c>
      <c r="H109" s="114"/>
      <c r="I109" s="146">
        <f t="shared" si="8"/>
        <v>1.989552894824018E-2</v>
      </c>
      <c r="J109" s="111"/>
      <c r="K109" s="112"/>
      <c r="L109" s="113"/>
    </row>
    <row r="110" spans="1:12" x14ac:dyDescent="0.25">
      <c r="A110" s="33" t="s">
        <v>313</v>
      </c>
      <c r="B110" s="10" t="s">
        <v>153</v>
      </c>
      <c r="C110" s="9" t="s">
        <v>154</v>
      </c>
      <c r="D110" s="89">
        <v>270.25</v>
      </c>
      <c r="E110" s="95">
        <v>0.76</v>
      </c>
      <c r="F110" s="67"/>
      <c r="G110" s="95">
        <v>205.39</v>
      </c>
      <c r="H110" s="114"/>
      <c r="I110" s="146">
        <f t="shared" si="8"/>
        <v>8.5788744996161251E-5</v>
      </c>
      <c r="J110" s="111"/>
      <c r="K110" s="112"/>
      <c r="L110" s="113"/>
    </row>
    <row r="111" spans="1:12" x14ac:dyDescent="0.25">
      <c r="A111" s="33" t="s">
        <v>314</v>
      </c>
      <c r="B111" s="10" t="s">
        <v>123</v>
      </c>
      <c r="C111" s="9" t="s">
        <v>26</v>
      </c>
      <c r="D111" s="89">
        <v>4.7</v>
      </c>
      <c r="E111" s="95">
        <v>10.49</v>
      </c>
      <c r="F111" s="67"/>
      <c r="G111" s="95">
        <v>49.3</v>
      </c>
      <c r="H111" s="114"/>
      <c r="I111" s="146">
        <f t="shared" si="8"/>
        <v>2.0591971996254683E-5</v>
      </c>
      <c r="J111" s="111"/>
      <c r="K111" s="112"/>
      <c r="L111" s="113"/>
    </row>
    <row r="112" spans="1:12" ht="25.5" x14ac:dyDescent="0.25">
      <c r="A112" s="33" t="s">
        <v>315</v>
      </c>
      <c r="B112" s="10" t="s">
        <v>157</v>
      </c>
      <c r="C112" s="9" t="s">
        <v>158</v>
      </c>
      <c r="D112" s="89">
        <v>0.38</v>
      </c>
      <c r="E112" s="95">
        <v>0.83</v>
      </c>
      <c r="F112" s="67"/>
      <c r="G112" s="95">
        <v>0.31</v>
      </c>
      <c r="H112" s="114"/>
      <c r="I112" s="146">
        <f t="shared" si="8"/>
        <v>1.2948298821174345E-7</v>
      </c>
      <c r="J112" s="111"/>
      <c r="K112" s="112"/>
      <c r="L112" s="113"/>
    </row>
    <row r="113" spans="1:12" x14ac:dyDescent="0.25">
      <c r="A113" s="32" t="s">
        <v>316</v>
      </c>
      <c r="B113" s="8" t="s">
        <v>160</v>
      </c>
      <c r="C113" s="9"/>
      <c r="D113" s="89"/>
      <c r="E113" s="95"/>
      <c r="F113" s="67"/>
      <c r="G113" s="109">
        <f>SUM(G114:G125)</f>
        <v>78201.249999999985</v>
      </c>
      <c r="H113" s="114"/>
      <c r="I113" s="146">
        <f t="shared" si="8"/>
        <v>3.266365010288258E-2</v>
      </c>
      <c r="J113" s="111"/>
      <c r="K113" s="112"/>
      <c r="L113" s="113"/>
    </row>
    <row r="114" spans="1:12" ht="25.5" x14ac:dyDescent="0.25">
      <c r="A114" s="33" t="s">
        <v>317</v>
      </c>
      <c r="B114" s="10" t="s">
        <v>162</v>
      </c>
      <c r="C114" s="9" t="s">
        <v>20</v>
      </c>
      <c r="D114" s="89">
        <v>23.5</v>
      </c>
      <c r="E114" s="95">
        <v>42.99</v>
      </c>
      <c r="F114" s="67"/>
      <c r="G114" s="95">
        <v>1010.26</v>
      </c>
      <c r="H114" s="114"/>
      <c r="I114" s="146">
        <f t="shared" si="8"/>
        <v>4.2197252797030946E-4</v>
      </c>
      <c r="J114" s="111"/>
      <c r="K114" s="112"/>
      <c r="L114" s="113"/>
    </row>
    <row r="115" spans="1:12" x14ac:dyDescent="0.25">
      <c r="A115" s="33" t="s">
        <v>318</v>
      </c>
      <c r="B115" s="10" t="s">
        <v>164</v>
      </c>
      <c r="C115" s="9" t="s">
        <v>42</v>
      </c>
      <c r="D115" s="89">
        <v>1410</v>
      </c>
      <c r="E115" s="95">
        <v>13.5</v>
      </c>
      <c r="F115" s="67"/>
      <c r="G115" s="95">
        <v>19035</v>
      </c>
      <c r="H115" s="114"/>
      <c r="I115" s="146">
        <f t="shared" si="8"/>
        <v>7.9506731632597947E-3</v>
      </c>
      <c r="J115" s="111"/>
      <c r="K115" s="112"/>
      <c r="L115" s="113"/>
    </row>
    <row r="116" spans="1:12" x14ac:dyDescent="0.25">
      <c r="A116" s="33" t="s">
        <v>319</v>
      </c>
      <c r="B116" s="10" t="s">
        <v>166</v>
      </c>
      <c r="C116" s="9" t="s">
        <v>42</v>
      </c>
      <c r="D116" s="89">
        <v>2350</v>
      </c>
      <c r="E116" s="95">
        <v>10.35</v>
      </c>
      <c r="F116" s="67"/>
      <c r="G116" s="95">
        <v>24322.5</v>
      </c>
      <c r="H116" s="114"/>
      <c r="I116" s="146">
        <f t="shared" si="8"/>
        <v>1.0159193486387516E-2</v>
      </c>
      <c r="J116" s="111"/>
      <c r="K116" s="112"/>
      <c r="L116" s="113"/>
    </row>
    <row r="117" spans="1:12" x14ac:dyDescent="0.25">
      <c r="A117" s="33" t="s">
        <v>320</v>
      </c>
      <c r="B117" s="10" t="s">
        <v>168</v>
      </c>
      <c r="C117" s="9" t="s">
        <v>26</v>
      </c>
      <c r="D117" s="89">
        <v>35.25</v>
      </c>
      <c r="E117" s="95">
        <v>648.51</v>
      </c>
      <c r="F117" s="67"/>
      <c r="G117" s="95">
        <v>22859.98</v>
      </c>
      <c r="H117" s="114"/>
      <c r="I117" s="146">
        <f t="shared" si="8"/>
        <v>9.5483178092280359E-3</v>
      </c>
      <c r="J117" s="111"/>
      <c r="K117" s="112"/>
      <c r="L117" s="113"/>
    </row>
    <row r="118" spans="1:12" ht="25.5" x14ac:dyDescent="0.25">
      <c r="A118" s="33" t="s">
        <v>321</v>
      </c>
      <c r="B118" s="10" t="s">
        <v>170</v>
      </c>
      <c r="C118" s="9" t="s">
        <v>57</v>
      </c>
      <c r="D118" s="89">
        <v>7.05</v>
      </c>
      <c r="E118" s="95">
        <v>73.319999999999993</v>
      </c>
      <c r="F118" s="67"/>
      <c r="G118" s="95">
        <v>516.91</v>
      </c>
      <c r="H118" s="114"/>
      <c r="I118" s="146">
        <f t="shared" si="8"/>
        <v>2.1590661753720098E-4</v>
      </c>
      <c r="J118" s="111"/>
      <c r="K118" s="112"/>
      <c r="L118" s="113"/>
    </row>
    <row r="119" spans="1:12" ht="25.5" x14ac:dyDescent="0.25">
      <c r="A119" s="33" t="s">
        <v>322</v>
      </c>
      <c r="B119" s="10" t="s">
        <v>172</v>
      </c>
      <c r="C119" s="9" t="s">
        <v>57</v>
      </c>
      <c r="D119" s="89">
        <v>16.45</v>
      </c>
      <c r="E119" s="95">
        <v>100.93</v>
      </c>
      <c r="F119" s="67"/>
      <c r="G119" s="95">
        <v>1660.3</v>
      </c>
      <c r="H119" s="114"/>
      <c r="I119" s="146">
        <f t="shared" si="8"/>
        <v>6.9348582363857301E-4</v>
      </c>
      <c r="J119" s="111"/>
      <c r="K119" s="112"/>
      <c r="L119" s="113"/>
    </row>
    <row r="120" spans="1:12" x14ac:dyDescent="0.25">
      <c r="A120" s="33" t="s">
        <v>323</v>
      </c>
      <c r="B120" s="10" t="s">
        <v>174</v>
      </c>
      <c r="C120" s="9" t="s">
        <v>57</v>
      </c>
      <c r="D120" s="89">
        <v>11.75</v>
      </c>
      <c r="E120" s="95">
        <v>381.67</v>
      </c>
      <c r="F120" s="67"/>
      <c r="G120" s="95">
        <v>4484.62</v>
      </c>
      <c r="H120" s="114"/>
      <c r="I120" s="146">
        <f t="shared" si="8"/>
        <v>1.8731677374004803E-3</v>
      </c>
      <c r="J120" s="111"/>
      <c r="K120" s="112"/>
      <c r="L120" s="113"/>
    </row>
    <row r="121" spans="1:12" ht="25.5" x14ac:dyDescent="0.25">
      <c r="A121" s="33" t="s">
        <v>324</v>
      </c>
      <c r="B121" s="10" t="s">
        <v>176</v>
      </c>
      <c r="C121" s="9" t="s">
        <v>149</v>
      </c>
      <c r="D121" s="89">
        <v>3.53</v>
      </c>
      <c r="E121" s="95">
        <v>7.22</v>
      </c>
      <c r="F121" s="67"/>
      <c r="G121" s="95">
        <v>25.45</v>
      </c>
      <c r="H121" s="114"/>
      <c r="I121" s="146">
        <f t="shared" si="8"/>
        <v>1.0630135645125389E-5</v>
      </c>
      <c r="J121" s="111"/>
      <c r="K121" s="112"/>
      <c r="L121" s="113"/>
    </row>
    <row r="122" spans="1:12" x14ac:dyDescent="0.25">
      <c r="A122" s="33" t="s">
        <v>325</v>
      </c>
      <c r="B122" s="10" t="s">
        <v>178</v>
      </c>
      <c r="C122" s="9" t="s">
        <v>23</v>
      </c>
      <c r="D122" s="89">
        <v>35.25</v>
      </c>
      <c r="E122" s="95">
        <v>36.69</v>
      </c>
      <c r="F122" s="67"/>
      <c r="G122" s="95">
        <v>1293.32</v>
      </c>
      <c r="H122" s="114"/>
      <c r="I122" s="146">
        <f t="shared" si="8"/>
        <v>5.4020302681939366E-4</v>
      </c>
      <c r="J122" s="111"/>
      <c r="K122" s="112"/>
      <c r="L122" s="113"/>
    </row>
    <row r="123" spans="1:12" x14ac:dyDescent="0.25">
      <c r="A123" s="33" t="s">
        <v>326</v>
      </c>
      <c r="B123" s="10" t="s">
        <v>180</v>
      </c>
      <c r="C123" s="9" t="s">
        <v>23</v>
      </c>
      <c r="D123" s="89">
        <v>25.15</v>
      </c>
      <c r="E123" s="95">
        <v>29.6</v>
      </c>
      <c r="F123" s="67"/>
      <c r="G123" s="95">
        <v>744.29</v>
      </c>
      <c r="H123" s="114"/>
      <c r="I123" s="146">
        <f t="shared" si="8"/>
        <v>3.1088030095522106E-4</v>
      </c>
      <c r="J123" s="111"/>
      <c r="K123" s="112"/>
      <c r="L123" s="113"/>
    </row>
    <row r="124" spans="1:12" ht="25.5" x14ac:dyDescent="0.25">
      <c r="A124" s="33" t="s">
        <v>327</v>
      </c>
      <c r="B124" s="10" t="s">
        <v>182</v>
      </c>
      <c r="C124" s="9" t="s">
        <v>26</v>
      </c>
      <c r="D124" s="89">
        <v>4.7</v>
      </c>
      <c r="E124" s="95">
        <v>218.93</v>
      </c>
      <c r="F124" s="67"/>
      <c r="G124" s="95">
        <v>1028.97</v>
      </c>
      <c r="H124" s="114"/>
      <c r="I124" s="146">
        <f t="shared" si="8"/>
        <v>4.2978745283947631E-4</v>
      </c>
      <c r="J124" s="111"/>
      <c r="K124" s="112"/>
      <c r="L124" s="113"/>
    </row>
    <row r="125" spans="1:12" ht="25.5" x14ac:dyDescent="0.25">
      <c r="A125" s="33" t="s">
        <v>328</v>
      </c>
      <c r="B125" s="10" t="s">
        <v>184</v>
      </c>
      <c r="C125" s="9" t="s">
        <v>20</v>
      </c>
      <c r="D125" s="89">
        <v>47</v>
      </c>
      <c r="E125" s="95">
        <v>25.95</v>
      </c>
      <c r="F125" s="67"/>
      <c r="G125" s="95">
        <v>1219.6500000000001</v>
      </c>
      <c r="H125" s="114"/>
      <c r="I125" s="146">
        <f t="shared" si="8"/>
        <v>5.0943202120146103E-4</v>
      </c>
      <c r="J125" s="111"/>
      <c r="K125" s="112"/>
      <c r="L125" s="113"/>
    </row>
    <row r="126" spans="1:12" x14ac:dyDescent="0.25">
      <c r="A126" s="32" t="s">
        <v>126</v>
      </c>
      <c r="B126" s="8" t="s">
        <v>69</v>
      </c>
      <c r="C126" s="9"/>
      <c r="D126" s="89"/>
      <c r="E126" s="95"/>
      <c r="F126" s="67"/>
      <c r="G126" s="109"/>
      <c r="H126" s="110">
        <f>G127+G129</f>
        <v>17772.39</v>
      </c>
      <c r="I126" s="149">
        <f>H126/$K$74</f>
        <v>7.4232973060145389E-3</v>
      </c>
      <c r="J126" s="111"/>
      <c r="K126" s="112"/>
      <c r="L126" s="113"/>
    </row>
    <row r="127" spans="1:12" x14ac:dyDescent="0.25">
      <c r="A127" s="32" t="s">
        <v>127</v>
      </c>
      <c r="B127" s="8" t="s">
        <v>71</v>
      </c>
      <c r="C127" s="9"/>
      <c r="D127" s="89"/>
      <c r="E127" s="95"/>
      <c r="F127" s="67"/>
      <c r="G127" s="109">
        <f>G128</f>
        <v>11272.95</v>
      </c>
      <c r="H127" s="114"/>
      <c r="I127" s="146">
        <f>G127/$K$74</f>
        <v>4.7085653289083013E-3</v>
      </c>
      <c r="J127" s="111"/>
      <c r="K127" s="112"/>
      <c r="L127" s="113"/>
    </row>
    <row r="128" spans="1:12" x14ac:dyDescent="0.25">
      <c r="A128" s="33" t="s">
        <v>128</v>
      </c>
      <c r="B128" s="10" t="s">
        <v>73</v>
      </c>
      <c r="C128" s="9" t="s">
        <v>57</v>
      </c>
      <c r="D128" s="89">
        <v>369</v>
      </c>
      <c r="E128" s="95">
        <v>30.55</v>
      </c>
      <c r="F128" s="67"/>
      <c r="G128" s="95">
        <v>11272.95</v>
      </c>
      <c r="H128" s="114"/>
      <c r="I128" s="146">
        <f t="shared" ref="I128:I130" si="9">G128/$K$74</f>
        <v>4.7085653289083013E-3</v>
      </c>
      <c r="J128" s="111"/>
      <c r="K128" s="112"/>
      <c r="L128" s="113"/>
    </row>
    <row r="129" spans="1:12" x14ac:dyDescent="0.25">
      <c r="A129" s="32" t="s">
        <v>129</v>
      </c>
      <c r="B129" s="8" t="s">
        <v>75</v>
      </c>
      <c r="C129" s="9"/>
      <c r="D129" s="89"/>
      <c r="E129" s="95"/>
      <c r="F129" s="67"/>
      <c r="G129" s="109">
        <f>G130</f>
        <v>6499.44</v>
      </c>
      <c r="H129" s="114"/>
      <c r="I129" s="146">
        <f t="shared" si="9"/>
        <v>2.7147319771062381E-3</v>
      </c>
      <c r="J129" s="111"/>
      <c r="K129" s="112"/>
      <c r="L129" s="113"/>
    </row>
    <row r="130" spans="1:12" ht="25.5" x14ac:dyDescent="0.25">
      <c r="A130" s="33" t="s">
        <v>130</v>
      </c>
      <c r="B130" s="10" t="s">
        <v>77</v>
      </c>
      <c r="C130" s="9" t="s">
        <v>26</v>
      </c>
      <c r="D130" s="89">
        <v>3.8</v>
      </c>
      <c r="E130" s="95">
        <v>1710.38</v>
      </c>
      <c r="F130" s="67"/>
      <c r="G130" s="95">
        <v>6499.44</v>
      </c>
      <c r="H130" s="114"/>
      <c r="I130" s="146">
        <f t="shared" si="9"/>
        <v>2.7147319771062381E-3</v>
      </c>
      <c r="J130" s="111"/>
      <c r="K130" s="112"/>
      <c r="L130" s="113"/>
    </row>
    <row r="131" spans="1:12" x14ac:dyDescent="0.25">
      <c r="A131" s="33"/>
      <c r="B131" s="10"/>
      <c r="C131" s="9"/>
      <c r="D131" s="89"/>
      <c r="E131" s="95"/>
      <c r="F131" s="67"/>
      <c r="G131" s="95"/>
      <c r="H131" s="111"/>
      <c r="I131" s="146"/>
      <c r="J131" s="111"/>
      <c r="K131" s="114"/>
      <c r="L131" s="113"/>
    </row>
    <row r="132" spans="1:12" x14ac:dyDescent="0.25">
      <c r="A132" s="32">
        <v>4</v>
      </c>
      <c r="B132" s="8" t="s">
        <v>108</v>
      </c>
      <c r="C132" s="9"/>
      <c r="D132" s="89"/>
      <c r="E132" s="95"/>
      <c r="F132" s="67"/>
      <c r="G132" s="109"/>
      <c r="H132" s="110"/>
      <c r="I132" s="149"/>
      <c r="J132" s="111"/>
      <c r="K132" s="112">
        <f>SUM(H132:H161)</f>
        <v>1647346.78</v>
      </c>
      <c r="L132" s="115">
        <f>K132/$G$211</f>
        <v>0.29608402246701493</v>
      </c>
    </row>
    <row r="133" spans="1:12" x14ac:dyDescent="0.25">
      <c r="A133" s="32" t="s">
        <v>132</v>
      </c>
      <c r="B133" s="8" t="s">
        <v>15</v>
      </c>
      <c r="C133" s="9"/>
      <c r="D133" s="89"/>
      <c r="E133" s="95"/>
      <c r="F133" s="67"/>
      <c r="G133" s="95"/>
      <c r="H133" s="109">
        <v>48778.99</v>
      </c>
      <c r="I133" s="149">
        <f>H133/$K$132</f>
        <v>2.9610638508062035E-2</v>
      </c>
      <c r="J133" s="111"/>
      <c r="K133" s="112"/>
      <c r="L133" s="113"/>
    </row>
    <row r="134" spans="1:12" x14ac:dyDescent="0.25">
      <c r="A134" s="32" t="s">
        <v>133</v>
      </c>
      <c r="B134" s="8" t="s">
        <v>17</v>
      </c>
      <c r="C134" s="9"/>
      <c r="D134" s="89"/>
      <c r="E134" s="95"/>
      <c r="F134" s="67"/>
      <c r="G134" s="109">
        <v>48778.99</v>
      </c>
      <c r="H134" s="111"/>
      <c r="I134" s="146">
        <f>G134/$K$132</f>
        <v>2.9610638508062035E-2</v>
      </c>
      <c r="J134" s="111"/>
      <c r="K134" s="112"/>
      <c r="L134" s="113"/>
    </row>
    <row r="135" spans="1:12" x14ac:dyDescent="0.25">
      <c r="A135" s="33" t="s">
        <v>134</v>
      </c>
      <c r="B135" s="10" t="s">
        <v>19</v>
      </c>
      <c r="C135" s="9" t="s">
        <v>20</v>
      </c>
      <c r="D135" s="89">
        <v>1778</v>
      </c>
      <c r="E135" s="95">
        <v>4.38</v>
      </c>
      <c r="F135" s="67"/>
      <c r="G135" s="95">
        <v>7787.64</v>
      </c>
      <c r="H135" s="111"/>
      <c r="I135" s="146">
        <f>G135/$K$132</f>
        <v>4.727383508164565E-3</v>
      </c>
      <c r="J135" s="111"/>
      <c r="K135" s="112"/>
      <c r="L135" s="113"/>
    </row>
    <row r="136" spans="1:12" x14ac:dyDescent="0.25">
      <c r="A136" s="33" t="s">
        <v>135</v>
      </c>
      <c r="B136" s="10" t="s">
        <v>22</v>
      </c>
      <c r="C136" s="9" t="s">
        <v>23</v>
      </c>
      <c r="D136" s="89">
        <v>44.45</v>
      </c>
      <c r="E136" s="95">
        <v>217.25</v>
      </c>
      <c r="F136" s="67"/>
      <c r="G136" s="95">
        <v>9656.76</v>
      </c>
      <c r="H136" s="111"/>
      <c r="I136" s="146">
        <f>G136/$K$132</f>
        <v>5.8620079980974014E-3</v>
      </c>
      <c r="J136" s="111"/>
      <c r="K136" s="112"/>
      <c r="L136" s="113"/>
    </row>
    <row r="137" spans="1:12" x14ac:dyDescent="0.25">
      <c r="A137" s="33" t="s">
        <v>136</v>
      </c>
      <c r="B137" s="10" t="s">
        <v>25</v>
      </c>
      <c r="C137" s="9" t="s">
        <v>26</v>
      </c>
      <c r="D137" s="89">
        <v>533.4</v>
      </c>
      <c r="E137" s="95">
        <v>17.54</v>
      </c>
      <c r="F137" s="67"/>
      <c r="G137" s="95">
        <v>9355.84</v>
      </c>
      <c r="H137" s="111"/>
      <c r="I137" s="146">
        <f>G137/$K$132</f>
        <v>5.6793385057637953E-3</v>
      </c>
      <c r="J137" s="111"/>
      <c r="K137" s="112"/>
      <c r="L137" s="113"/>
    </row>
    <row r="138" spans="1:12" x14ac:dyDescent="0.25">
      <c r="A138" s="33" t="s">
        <v>137</v>
      </c>
      <c r="B138" s="10" t="s">
        <v>28</v>
      </c>
      <c r="C138" s="9" t="s">
        <v>29</v>
      </c>
      <c r="D138" s="89">
        <v>10721.34</v>
      </c>
      <c r="E138" s="95">
        <v>2.0499999999999998</v>
      </c>
      <c r="F138" s="67"/>
      <c r="G138" s="95">
        <v>21978.75</v>
      </c>
      <c r="H138" s="111"/>
      <c r="I138" s="146">
        <f>G138/$K$132</f>
        <v>1.3341908496036274E-2</v>
      </c>
      <c r="J138" s="111"/>
      <c r="K138" s="112"/>
      <c r="L138" s="113"/>
    </row>
    <row r="139" spans="1:12" x14ac:dyDescent="0.25">
      <c r="A139" s="32" t="s">
        <v>138</v>
      </c>
      <c r="B139" s="8" t="s">
        <v>31</v>
      </c>
      <c r="C139" s="9"/>
      <c r="D139" s="89"/>
      <c r="E139" s="95"/>
      <c r="F139" s="67"/>
      <c r="G139" s="95"/>
      <c r="H139" s="109">
        <v>1587222.32</v>
      </c>
      <c r="I139" s="149">
        <f>H139/$K$132</f>
        <v>0.96350224450009248</v>
      </c>
      <c r="J139" s="111"/>
      <c r="K139" s="112"/>
      <c r="L139" s="113"/>
    </row>
    <row r="140" spans="1:12" x14ac:dyDescent="0.25">
      <c r="A140" s="32" t="s">
        <v>139</v>
      </c>
      <c r="B140" s="8" t="s">
        <v>33</v>
      </c>
      <c r="C140" s="9"/>
      <c r="D140" s="89"/>
      <c r="E140" s="95"/>
      <c r="F140" s="67"/>
      <c r="G140" s="109">
        <v>1215099.2</v>
      </c>
      <c r="H140" s="111"/>
      <c r="I140" s="146">
        <f t="shared" ref="I140:I156" si="10">G140/$K$132</f>
        <v>0.73760984314425893</v>
      </c>
      <c r="J140" s="111"/>
      <c r="K140" s="112"/>
      <c r="L140" s="113"/>
    </row>
    <row r="141" spans="1:12" ht="25.5" x14ac:dyDescent="0.25">
      <c r="A141" s="33" t="s">
        <v>140</v>
      </c>
      <c r="B141" s="10" t="s">
        <v>35</v>
      </c>
      <c r="C141" s="9" t="s">
        <v>20</v>
      </c>
      <c r="D141" s="89">
        <v>1610</v>
      </c>
      <c r="E141" s="95">
        <v>754.72</v>
      </c>
      <c r="F141" s="67"/>
      <c r="G141" s="95">
        <v>1215099.2</v>
      </c>
      <c r="H141" s="111"/>
      <c r="I141" s="146">
        <f t="shared" si="10"/>
        <v>0.73760984314425893</v>
      </c>
      <c r="J141" s="111"/>
      <c r="K141" s="112"/>
      <c r="L141" s="113"/>
    </row>
    <row r="142" spans="1:12" x14ac:dyDescent="0.25">
      <c r="A142" s="32" t="s">
        <v>143</v>
      </c>
      <c r="B142" s="8" t="s">
        <v>37</v>
      </c>
      <c r="C142" s="9"/>
      <c r="D142" s="89"/>
      <c r="E142" s="95"/>
      <c r="F142" s="67"/>
      <c r="G142" s="109">
        <v>372123.12</v>
      </c>
      <c r="H142" s="111"/>
      <c r="I142" s="146">
        <f t="shared" si="10"/>
        <v>0.22589240135583352</v>
      </c>
      <c r="J142" s="111"/>
      <c r="K142" s="112"/>
      <c r="L142" s="113"/>
    </row>
    <row r="143" spans="1:12" x14ac:dyDescent="0.25">
      <c r="A143" s="33" t="s">
        <v>145</v>
      </c>
      <c r="B143" s="10" t="s">
        <v>39</v>
      </c>
      <c r="C143" s="9" t="s">
        <v>26</v>
      </c>
      <c r="D143" s="89">
        <v>67.2</v>
      </c>
      <c r="E143" s="95">
        <v>641.26</v>
      </c>
      <c r="F143" s="67"/>
      <c r="G143" s="95">
        <v>43092.67</v>
      </c>
      <c r="H143" s="111"/>
      <c r="I143" s="146">
        <f t="shared" si="10"/>
        <v>2.6158833418182901E-2</v>
      </c>
      <c r="J143" s="111"/>
      <c r="K143" s="112"/>
      <c r="L143" s="113"/>
    </row>
    <row r="144" spans="1:12" x14ac:dyDescent="0.25">
      <c r="A144" s="33" t="s">
        <v>159</v>
      </c>
      <c r="B144" s="10" t="s">
        <v>41</v>
      </c>
      <c r="C144" s="9" t="s">
        <v>42</v>
      </c>
      <c r="D144" s="89">
        <v>1680</v>
      </c>
      <c r="E144" s="95">
        <v>8.64</v>
      </c>
      <c r="F144" s="67"/>
      <c r="G144" s="95">
        <v>14515.2</v>
      </c>
      <c r="H144" s="111"/>
      <c r="I144" s="146">
        <f t="shared" si="10"/>
        <v>8.8112595212041511E-3</v>
      </c>
      <c r="J144" s="111"/>
      <c r="K144" s="112"/>
      <c r="L144" s="113"/>
    </row>
    <row r="145" spans="1:12" x14ac:dyDescent="0.25">
      <c r="A145" s="33" t="s">
        <v>329</v>
      </c>
      <c r="B145" s="10" t="s">
        <v>44</v>
      </c>
      <c r="C145" s="9" t="s">
        <v>42</v>
      </c>
      <c r="D145" s="89">
        <v>3024</v>
      </c>
      <c r="E145" s="95">
        <v>9.66</v>
      </c>
      <c r="F145" s="67"/>
      <c r="G145" s="95">
        <v>29211.84</v>
      </c>
      <c r="H145" s="111"/>
      <c r="I145" s="146">
        <f t="shared" si="10"/>
        <v>1.7732659786423355E-2</v>
      </c>
      <c r="J145" s="111"/>
      <c r="K145" s="112"/>
      <c r="L145" s="113"/>
    </row>
    <row r="146" spans="1:12" x14ac:dyDescent="0.25">
      <c r="A146" s="33" t="s">
        <v>330</v>
      </c>
      <c r="B146" s="10" t="s">
        <v>46</v>
      </c>
      <c r="C146" s="9" t="s">
        <v>42</v>
      </c>
      <c r="D146" s="89">
        <v>3024</v>
      </c>
      <c r="E146" s="95">
        <v>8.84</v>
      </c>
      <c r="F146" s="67"/>
      <c r="G146" s="95">
        <v>26732.16</v>
      </c>
      <c r="H146" s="111"/>
      <c r="I146" s="146">
        <f t="shared" si="10"/>
        <v>1.6227402951550979E-2</v>
      </c>
      <c r="J146" s="111"/>
      <c r="K146" s="112"/>
      <c r="L146" s="113"/>
    </row>
    <row r="147" spans="1:12" x14ac:dyDescent="0.25">
      <c r="A147" s="33" t="s">
        <v>331</v>
      </c>
      <c r="B147" s="10" t="s">
        <v>48</v>
      </c>
      <c r="C147" s="9" t="s">
        <v>26</v>
      </c>
      <c r="D147" s="89">
        <v>134.4</v>
      </c>
      <c r="E147" s="95">
        <v>25.13</v>
      </c>
      <c r="F147" s="67"/>
      <c r="G147" s="95">
        <v>3377.47</v>
      </c>
      <c r="H147" s="111"/>
      <c r="I147" s="146">
        <f t="shared" si="10"/>
        <v>2.0502483393326568E-3</v>
      </c>
      <c r="J147" s="111"/>
      <c r="K147" s="112"/>
      <c r="L147" s="113"/>
    </row>
    <row r="148" spans="1:12" x14ac:dyDescent="0.25">
      <c r="A148" s="33" t="s">
        <v>332</v>
      </c>
      <c r="B148" s="10" t="s">
        <v>50</v>
      </c>
      <c r="C148" s="9" t="s">
        <v>26</v>
      </c>
      <c r="D148" s="89">
        <v>3.36</v>
      </c>
      <c r="E148" s="95">
        <v>900.01</v>
      </c>
      <c r="F148" s="67"/>
      <c r="G148" s="95">
        <v>3024.03</v>
      </c>
      <c r="H148" s="111"/>
      <c r="I148" s="146">
        <f t="shared" si="10"/>
        <v>1.835697278019386E-3</v>
      </c>
      <c r="J148" s="111"/>
      <c r="K148" s="112"/>
      <c r="L148" s="113"/>
    </row>
    <row r="149" spans="1:12" x14ac:dyDescent="0.25">
      <c r="A149" s="33" t="s">
        <v>333</v>
      </c>
      <c r="B149" s="10" t="s">
        <v>52</v>
      </c>
      <c r="C149" s="9" t="s">
        <v>26</v>
      </c>
      <c r="D149" s="89">
        <v>3.36</v>
      </c>
      <c r="E149" s="95">
        <v>1002.12</v>
      </c>
      <c r="F149" s="67"/>
      <c r="G149" s="95">
        <v>3367.12</v>
      </c>
      <c r="H149" s="111"/>
      <c r="I149" s="146">
        <f t="shared" si="10"/>
        <v>2.0439655091929096E-3</v>
      </c>
      <c r="J149" s="111"/>
      <c r="K149" s="112"/>
      <c r="L149" s="113"/>
    </row>
    <row r="150" spans="1:12" x14ac:dyDescent="0.25">
      <c r="A150" s="33" t="s">
        <v>334</v>
      </c>
      <c r="B150" s="10" t="s">
        <v>54</v>
      </c>
      <c r="C150" s="9" t="s">
        <v>26</v>
      </c>
      <c r="D150" s="89">
        <v>84</v>
      </c>
      <c r="E150" s="95">
        <v>1037.21</v>
      </c>
      <c r="F150" s="67"/>
      <c r="G150" s="95">
        <v>87125.64</v>
      </c>
      <c r="H150" s="111"/>
      <c r="I150" s="146">
        <f t="shared" si="10"/>
        <v>5.2888463472153688E-2</v>
      </c>
      <c r="J150" s="111"/>
      <c r="K150" s="112"/>
      <c r="L150" s="113"/>
    </row>
    <row r="151" spans="1:12" x14ac:dyDescent="0.25">
      <c r="A151" s="33" t="s">
        <v>335</v>
      </c>
      <c r="B151" s="10" t="s">
        <v>56</v>
      </c>
      <c r="C151" s="9" t="s">
        <v>57</v>
      </c>
      <c r="D151" s="89">
        <v>84</v>
      </c>
      <c r="E151" s="95">
        <v>45.3</v>
      </c>
      <c r="F151" s="67"/>
      <c r="G151" s="95">
        <v>3805.2</v>
      </c>
      <c r="H151" s="111"/>
      <c r="I151" s="146">
        <f t="shared" si="10"/>
        <v>2.3098961592045602E-3</v>
      </c>
      <c r="J151" s="111"/>
      <c r="K151" s="112"/>
      <c r="L151" s="113"/>
    </row>
    <row r="152" spans="1:12" ht="25.5" x14ac:dyDescent="0.25">
      <c r="A152" s="33" t="s">
        <v>336</v>
      </c>
      <c r="B152" s="10" t="s">
        <v>59</v>
      </c>
      <c r="C152" s="9" t="s">
        <v>20</v>
      </c>
      <c r="D152" s="89">
        <v>168</v>
      </c>
      <c r="E152" s="95">
        <v>106.17</v>
      </c>
      <c r="F152" s="67"/>
      <c r="G152" s="95">
        <v>17836.560000000001</v>
      </c>
      <c r="H152" s="111"/>
      <c r="I152" s="146">
        <f t="shared" si="10"/>
        <v>1.0827447029701906E-2</v>
      </c>
      <c r="J152" s="111"/>
      <c r="K152" s="112"/>
      <c r="L152" s="113"/>
    </row>
    <row r="153" spans="1:12" ht="25.5" x14ac:dyDescent="0.25">
      <c r="A153" s="33" t="s">
        <v>337</v>
      </c>
      <c r="B153" s="10" t="s">
        <v>61</v>
      </c>
      <c r="C153" s="9" t="s">
        <v>26</v>
      </c>
      <c r="D153" s="89">
        <v>134.4</v>
      </c>
      <c r="E153" s="95">
        <v>56.85</v>
      </c>
      <c r="F153" s="67"/>
      <c r="G153" s="95">
        <v>7640.64</v>
      </c>
      <c r="H153" s="111"/>
      <c r="I153" s="146">
        <f t="shared" si="10"/>
        <v>4.6381491090782961E-3</v>
      </c>
      <c r="J153" s="111"/>
      <c r="K153" s="112"/>
      <c r="L153" s="113"/>
    </row>
    <row r="154" spans="1:12" x14ac:dyDescent="0.25">
      <c r="A154" s="33" t="s">
        <v>338</v>
      </c>
      <c r="B154" s="10" t="s">
        <v>63</v>
      </c>
      <c r="C154" s="9" t="s">
        <v>20</v>
      </c>
      <c r="D154" s="89">
        <v>134.4</v>
      </c>
      <c r="E154" s="95">
        <v>76.84</v>
      </c>
      <c r="F154" s="67"/>
      <c r="G154" s="95">
        <v>10327.299999999999</v>
      </c>
      <c r="H154" s="111"/>
      <c r="I154" s="146">
        <f t="shared" si="10"/>
        <v>6.269050406011052E-3</v>
      </c>
      <c r="J154" s="111"/>
      <c r="K154" s="112"/>
      <c r="L154" s="113"/>
    </row>
    <row r="155" spans="1:12" x14ac:dyDescent="0.25">
      <c r="A155" s="33" t="s">
        <v>339</v>
      </c>
      <c r="B155" s="10" t="s">
        <v>65</v>
      </c>
      <c r="C155" s="9" t="s">
        <v>42</v>
      </c>
      <c r="D155" s="89">
        <v>2100</v>
      </c>
      <c r="E155" s="95">
        <v>11.15</v>
      </c>
      <c r="F155" s="67"/>
      <c r="G155" s="95">
        <v>23415</v>
      </c>
      <c r="H155" s="111"/>
      <c r="I155" s="146">
        <f t="shared" si="10"/>
        <v>1.421376499731283E-2</v>
      </c>
      <c r="J155" s="111"/>
      <c r="K155" s="112"/>
      <c r="L155" s="113"/>
    </row>
    <row r="156" spans="1:12" x14ac:dyDescent="0.25">
      <c r="A156" s="33" t="s">
        <v>340</v>
      </c>
      <c r="B156" s="10" t="s">
        <v>67</v>
      </c>
      <c r="C156" s="9" t="s">
        <v>26</v>
      </c>
      <c r="D156" s="89">
        <v>134.4</v>
      </c>
      <c r="E156" s="95">
        <v>734.02</v>
      </c>
      <c r="F156" s="67"/>
      <c r="G156" s="95">
        <v>98652.29</v>
      </c>
      <c r="H156" s="111"/>
      <c r="I156" s="146">
        <f t="shared" si="10"/>
        <v>5.9885563378464853E-2</v>
      </c>
      <c r="J156" s="111"/>
      <c r="K156" s="112"/>
      <c r="L156" s="113"/>
    </row>
    <row r="157" spans="1:12" x14ac:dyDescent="0.25">
      <c r="A157" s="32" t="s">
        <v>185</v>
      </c>
      <c r="B157" s="8" t="s">
        <v>69</v>
      </c>
      <c r="C157" s="9"/>
      <c r="D157" s="89"/>
      <c r="E157" s="95"/>
      <c r="F157" s="67"/>
      <c r="G157" s="95"/>
      <c r="H157" s="109">
        <v>11345.47</v>
      </c>
      <c r="I157" s="149">
        <f>H157/$K$132</f>
        <v>6.8871169918455176E-3</v>
      </c>
      <c r="J157" s="111"/>
      <c r="K157" s="112"/>
      <c r="L157" s="113"/>
    </row>
    <row r="158" spans="1:12" x14ac:dyDescent="0.25">
      <c r="A158" s="32" t="s">
        <v>186</v>
      </c>
      <c r="B158" s="8" t="s">
        <v>71</v>
      </c>
      <c r="C158" s="9"/>
      <c r="D158" s="89"/>
      <c r="E158" s="95"/>
      <c r="F158" s="67"/>
      <c r="G158" s="109">
        <v>8095.75</v>
      </c>
      <c r="H158" s="111"/>
      <c r="I158" s="146">
        <f>G158/$K$132</f>
        <v>4.9144175945759275E-3</v>
      </c>
      <c r="J158" s="111"/>
      <c r="K158" s="112"/>
      <c r="L158" s="113"/>
    </row>
    <row r="159" spans="1:12" x14ac:dyDescent="0.25">
      <c r="A159" s="33" t="s">
        <v>187</v>
      </c>
      <c r="B159" s="10" t="s">
        <v>73</v>
      </c>
      <c r="C159" s="9" t="s">
        <v>57</v>
      </c>
      <c r="D159" s="89">
        <v>265</v>
      </c>
      <c r="E159" s="95">
        <v>30.55</v>
      </c>
      <c r="F159" s="67"/>
      <c r="G159" s="95">
        <v>8095.75</v>
      </c>
      <c r="H159" s="111"/>
      <c r="I159" s="146">
        <f>G159/$K$132</f>
        <v>4.9144175945759275E-3</v>
      </c>
      <c r="J159" s="111"/>
      <c r="K159" s="112"/>
      <c r="L159" s="113"/>
    </row>
    <row r="160" spans="1:12" x14ac:dyDescent="0.25">
      <c r="A160" s="32" t="s">
        <v>188</v>
      </c>
      <c r="B160" s="8" t="s">
        <v>75</v>
      </c>
      <c r="C160" s="9"/>
      <c r="D160" s="89"/>
      <c r="E160" s="95"/>
      <c r="F160" s="67"/>
      <c r="G160" s="109">
        <v>3249.72</v>
      </c>
      <c r="H160" s="111"/>
      <c r="I160" s="146">
        <f>G160/$K$132</f>
        <v>1.9726993972695901E-3</v>
      </c>
      <c r="J160" s="111"/>
      <c r="K160" s="112"/>
      <c r="L160" s="113"/>
    </row>
    <row r="161" spans="1:12" ht="26.25" thickBot="1" x14ac:dyDescent="0.3">
      <c r="A161" s="34" t="s">
        <v>189</v>
      </c>
      <c r="B161" s="35" t="s">
        <v>77</v>
      </c>
      <c r="C161" s="36" t="s">
        <v>26</v>
      </c>
      <c r="D161" s="90">
        <v>1.9</v>
      </c>
      <c r="E161" s="96">
        <v>1710.38</v>
      </c>
      <c r="F161" s="77"/>
      <c r="G161" s="96">
        <v>3249.72</v>
      </c>
      <c r="H161" s="116"/>
      <c r="I161" s="151">
        <f>G161/$K$132</f>
        <v>1.9726993972695901E-3</v>
      </c>
      <c r="J161" s="116"/>
      <c r="K161" s="117"/>
      <c r="L161" s="118"/>
    </row>
    <row r="162" spans="1:12" ht="13.5" thickBot="1" x14ac:dyDescent="0.3">
      <c r="A162" s="41"/>
      <c r="D162" s="91"/>
      <c r="E162" s="97"/>
      <c r="G162" s="97"/>
      <c r="H162" s="103"/>
      <c r="K162" s="119"/>
    </row>
    <row r="163" spans="1:12" x14ac:dyDescent="0.25">
      <c r="A163" s="25">
        <v>5</v>
      </c>
      <c r="B163" s="26" t="s">
        <v>206</v>
      </c>
      <c r="C163" s="27"/>
      <c r="D163" s="88"/>
      <c r="E163" s="94"/>
      <c r="F163" s="72"/>
      <c r="G163" s="105"/>
      <c r="H163" s="106"/>
      <c r="I163" s="148"/>
      <c r="J163" s="106"/>
      <c r="K163" s="120">
        <f>SUM(H163:H209)</f>
        <v>2040774.08</v>
      </c>
      <c r="L163" s="121">
        <v>1</v>
      </c>
    </row>
    <row r="164" spans="1:12" x14ac:dyDescent="0.25">
      <c r="A164" s="32" t="s">
        <v>191</v>
      </c>
      <c r="B164" s="8" t="s">
        <v>15</v>
      </c>
      <c r="C164" s="9"/>
      <c r="D164" s="89"/>
      <c r="E164" s="95"/>
      <c r="F164" s="67"/>
      <c r="G164" s="109"/>
      <c r="H164" s="110">
        <f>G165+G170</f>
        <v>121034.78</v>
      </c>
      <c r="I164" s="149">
        <f>H164/$K$163</f>
        <v>5.9308269928634139E-2</v>
      </c>
      <c r="J164" s="111"/>
      <c r="K164" s="122"/>
      <c r="L164" s="123"/>
    </row>
    <row r="165" spans="1:12" x14ac:dyDescent="0.25">
      <c r="A165" s="32" t="s">
        <v>192</v>
      </c>
      <c r="B165" s="8" t="s">
        <v>17</v>
      </c>
      <c r="C165" s="9"/>
      <c r="D165" s="89"/>
      <c r="E165" s="95"/>
      <c r="F165" s="67"/>
      <c r="G165" s="109">
        <f>SUM(G166:G169)</f>
        <v>55281.02</v>
      </c>
      <c r="H165" s="114"/>
      <c r="I165" s="146">
        <f>G165/$K$163</f>
        <v>2.7088260548663964E-2</v>
      </c>
      <c r="J165" s="111"/>
      <c r="K165" s="122"/>
      <c r="L165" s="123"/>
    </row>
    <row r="166" spans="1:12" x14ac:dyDescent="0.25">
      <c r="A166" s="33" t="s">
        <v>193</v>
      </c>
      <c r="B166" s="10" t="s">
        <v>19</v>
      </c>
      <c r="C166" s="9" t="s">
        <v>20</v>
      </c>
      <c r="D166" s="89">
        <v>2015</v>
      </c>
      <c r="E166" s="95">
        <v>4.38</v>
      </c>
      <c r="F166" s="67"/>
      <c r="G166" s="95">
        <v>8825.7000000000007</v>
      </c>
      <c r="H166" s="114"/>
      <c r="I166" s="146">
        <f t="shared" ref="I166:I176" si="11">G166/$K$163</f>
        <v>4.3246825243880007E-3</v>
      </c>
      <c r="J166" s="111"/>
      <c r="K166" s="122"/>
      <c r="L166" s="123"/>
    </row>
    <row r="167" spans="1:12" x14ac:dyDescent="0.25">
      <c r="A167" s="33" t="s">
        <v>194</v>
      </c>
      <c r="B167" s="10" t="s">
        <v>22</v>
      </c>
      <c r="C167" s="9" t="s">
        <v>23</v>
      </c>
      <c r="D167" s="89">
        <v>50.38</v>
      </c>
      <c r="E167" s="95">
        <v>217.25</v>
      </c>
      <c r="F167" s="67"/>
      <c r="G167" s="95">
        <v>10943.97</v>
      </c>
      <c r="H167" s="114"/>
      <c r="I167" s="146">
        <f t="shared" si="11"/>
        <v>5.3626563112757677E-3</v>
      </c>
      <c r="J167" s="111"/>
      <c r="K167" s="122"/>
      <c r="L167" s="123"/>
    </row>
    <row r="168" spans="1:12" x14ac:dyDescent="0.25">
      <c r="A168" s="33" t="s">
        <v>195</v>
      </c>
      <c r="B168" s="10" t="s">
        <v>25</v>
      </c>
      <c r="C168" s="9" t="s">
        <v>26</v>
      </c>
      <c r="D168" s="89">
        <v>604.5</v>
      </c>
      <c r="E168" s="95">
        <v>17.54</v>
      </c>
      <c r="F168" s="67"/>
      <c r="G168" s="95">
        <v>10602.93</v>
      </c>
      <c r="H168" s="114"/>
      <c r="I168" s="146">
        <f t="shared" si="11"/>
        <v>5.195543251901749E-3</v>
      </c>
      <c r="J168" s="111"/>
      <c r="K168" s="122"/>
      <c r="L168" s="123"/>
    </row>
    <row r="169" spans="1:12" x14ac:dyDescent="0.25">
      <c r="A169" s="33" t="s">
        <v>196</v>
      </c>
      <c r="B169" s="10" t="s">
        <v>28</v>
      </c>
      <c r="C169" s="9" t="s">
        <v>29</v>
      </c>
      <c r="D169" s="89">
        <v>12150.45</v>
      </c>
      <c r="E169" s="95">
        <v>2.0499999999999998</v>
      </c>
      <c r="F169" s="67"/>
      <c r="G169" s="95">
        <v>24908.42</v>
      </c>
      <c r="H169" s="114"/>
      <c r="I169" s="146">
        <f t="shared" si="11"/>
        <v>1.2205378461098447E-2</v>
      </c>
      <c r="J169" s="111"/>
      <c r="K169" s="122"/>
      <c r="L169" s="123"/>
    </row>
    <row r="170" spans="1:12" x14ac:dyDescent="0.25">
      <c r="A170" s="32" t="s">
        <v>197</v>
      </c>
      <c r="B170" s="8" t="s">
        <v>279</v>
      </c>
      <c r="C170" s="9"/>
      <c r="D170" s="89"/>
      <c r="E170" s="95"/>
      <c r="F170" s="67"/>
      <c r="G170" s="109">
        <f>SUM(G171:G176)</f>
        <v>65753.759999999995</v>
      </c>
      <c r="H170" s="114"/>
      <c r="I170" s="146">
        <f t="shared" si="11"/>
        <v>3.2220009379970167E-2</v>
      </c>
      <c r="J170" s="111"/>
      <c r="K170" s="122"/>
      <c r="L170" s="123"/>
    </row>
    <row r="171" spans="1:12" x14ac:dyDescent="0.25">
      <c r="A171" s="33" t="s">
        <v>198</v>
      </c>
      <c r="B171" s="10" t="s">
        <v>281</v>
      </c>
      <c r="C171" s="9" t="s">
        <v>26</v>
      </c>
      <c r="D171" s="89">
        <v>408</v>
      </c>
      <c r="E171" s="95">
        <v>54.08</v>
      </c>
      <c r="F171" s="67"/>
      <c r="G171" s="95">
        <v>22064.639999999999</v>
      </c>
      <c r="H171" s="114"/>
      <c r="I171" s="146">
        <f t="shared" si="11"/>
        <v>1.0811897414926006E-2</v>
      </c>
      <c r="J171" s="111"/>
      <c r="K171" s="122"/>
      <c r="L171" s="123"/>
    </row>
    <row r="172" spans="1:12" x14ac:dyDescent="0.25">
      <c r="A172" s="33" t="s">
        <v>199</v>
      </c>
      <c r="B172" s="10" t="s">
        <v>283</v>
      </c>
      <c r="C172" s="9" t="s">
        <v>26</v>
      </c>
      <c r="D172" s="89">
        <v>102</v>
      </c>
      <c r="E172" s="95">
        <v>78.37</v>
      </c>
      <c r="F172" s="67"/>
      <c r="G172" s="95">
        <v>7993.74</v>
      </c>
      <c r="H172" s="114"/>
      <c r="I172" s="146">
        <f t="shared" si="11"/>
        <v>3.9170136853168966E-3</v>
      </c>
      <c r="J172" s="111"/>
      <c r="K172" s="122"/>
      <c r="L172" s="123"/>
    </row>
    <row r="173" spans="1:12" x14ac:dyDescent="0.25">
      <c r="A173" s="33" t="s">
        <v>200</v>
      </c>
      <c r="B173" s="10" t="s">
        <v>285</v>
      </c>
      <c r="C173" s="9" t="s">
        <v>26</v>
      </c>
      <c r="D173" s="89">
        <v>35.700000000000003</v>
      </c>
      <c r="E173" s="95">
        <v>168.28</v>
      </c>
      <c r="F173" s="67"/>
      <c r="G173" s="95">
        <v>6007.6</v>
      </c>
      <c r="H173" s="114"/>
      <c r="I173" s="146">
        <f t="shared" si="11"/>
        <v>2.9437849387032593E-3</v>
      </c>
      <c r="J173" s="111"/>
      <c r="K173" s="122"/>
      <c r="L173" s="123"/>
    </row>
    <row r="174" spans="1:12" x14ac:dyDescent="0.25">
      <c r="A174" s="33" t="s">
        <v>341</v>
      </c>
      <c r="B174" s="10" t="s">
        <v>287</v>
      </c>
      <c r="C174" s="9" t="s">
        <v>20</v>
      </c>
      <c r="D174" s="89">
        <v>544</v>
      </c>
      <c r="E174" s="95">
        <v>6.36</v>
      </c>
      <c r="F174" s="67"/>
      <c r="G174" s="95">
        <v>3459.84</v>
      </c>
      <c r="H174" s="114"/>
      <c r="I174" s="146">
        <f t="shared" si="11"/>
        <v>1.6953566952398768E-3</v>
      </c>
      <c r="J174" s="111"/>
      <c r="K174" s="122"/>
      <c r="L174" s="123"/>
    </row>
    <row r="175" spans="1:12" x14ac:dyDescent="0.25">
      <c r="A175" s="33" t="s">
        <v>342</v>
      </c>
      <c r="B175" s="10" t="s">
        <v>25</v>
      </c>
      <c r="C175" s="9" t="s">
        <v>26</v>
      </c>
      <c r="D175" s="89">
        <v>544</v>
      </c>
      <c r="E175" s="95">
        <v>17.54</v>
      </c>
      <c r="F175" s="67"/>
      <c r="G175" s="95">
        <v>9541.76</v>
      </c>
      <c r="H175" s="114"/>
      <c r="I175" s="146">
        <f t="shared" si="11"/>
        <v>4.6755591878156347E-3</v>
      </c>
      <c r="J175" s="111"/>
      <c r="K175" s="122"/>
      <c r="L175" s="123"/>
    </row>
    <row r="176" spans="1:12" x14ac:dyDescent="0.25">
      <c r="A176" s="33" t="s">
        <v>343</v>
      </c>
      <c r="B176" s="10" t="s">
        <v>28</v>
      </c>
      <c r="C176" s="9" t="s">
        <v>29</v>
      </c>
      <c r="D176" s="89">
        <v>8139.6</v>
      </c>
      <c r="E176" s="95">
        <v>2.0499999999999998</v>
      </c>
      <c r="F176" s="67"/>
      <c r="G176" s="95">
        <v>16686.18</v>
      </c>
      <c r="H176" s="114"/>
      <c r="I176" s="146">
        <f t="shared" si="11"/>
        <v>8.1763974579684984E-3</v>
      </c>
      <c r="J176" s="111"/>
      <c r="K176" s="122"/>
      <c r="L176" s="123"/>
    </row>
    <row r="177" spans="1:12" x14ac:dyDescent="0.25">
      <c r="A177" s="32" t="s">
        <v>201</v>
      </c>
      <c r="B177" s="8" t="s">
        <v>208</v>
      </c>
      <c r="C177" s="9"/>
      <c r="D177" s="89"/>
      <c r="E177" s="95"/>
      <c r="F177" s="67"/>
      <c r="G177" s="109"/>
      <c r="H177" s="110">
        <f>G178+G180</f>
        <v>84077.4</v>
      </c>
      <c r="I177" s="149">
        <f>H177/$K$163</f>
        <v>4.1198778847681167E-2</v>
      </c>
      <c r="J177" s="111"/>
      <c r="K177" s="122"/>
      <c r="L177" s="123"/>
    </row>
    <row r="178" spans="1:12" x14ac:dyDescent="0.25">
      <c r="A178" s="32" t="s">
        <v>202</v>
      </c>
      <c r="B178" s="8" t="s">
        <v>71</v>
      </c>
      <c r="C178" s="9"/>
      <c r="D178" s="89"/>
      <c r="E178" s="95"/>
      <c r="F178" s="67"/>
      <c r="G178" s="109">
        <f>G179</f>
        <v>24898.25</v>
      </c>
      <c r="H178" s="114"/>
      <c r="I178" s="146">
        <f>G178/$K$163</f>
        <v>1.2200395057938015E-2</v>
      </c>
      <c r="J178" s="111"/>
      <c r="K178" s="122"/>
      <c r="L178" s="123"/>
    </row>
    <row r="179" spans="1:12" x14ac:dyDescent="0.25">
      <c r="A179" s="33" t="s">
        <v>203</v>
      </c>
      <c r="B179" s="10" t="s">
        <v>73</v>
      </c>
      <c r="C179" s="9" t="s">
        <v>57</v>
      </c>
      <c r="D179" s="89">
        <v>815</v>
      </c>
      <c r="E179" s="95">
        <v>30.55</v>
      </c>
      <c r="F179" s="67"/>
      <c r="G179" s="95">
        <v>24898.25</v>
      </c>
      <c r="H179" s="114"/>
      <c r="I179" s="146">
        <f t="shared" ref="I179:I181" si="12">G179/$K$163</f>
        <v>1.2200395057938015E-2</v>
      </c>
      <c r="J179" s="111"/>
      <c r="K179" s="122"/>
      <c r="L179" s="123"/>
    </row>
    <row r="180" spans="1:12" x14ac:dyDescent="0.25">
      <c r="A180" s="32" t="s">
        <v>204</v>
      </c>
      <c r="B180" s="8" t="s">
        <v>75</v>
      </c>
      <c r="C180" s="9"/>
      <c r="D180" s="89"/>
      <c r="E180" s="95"/>
      <c r="F180" s="67"/>
      <c r="G180" s="109">
        <f>G181</f>
        <v>59179.15</v>
      </c>
      <c r="H180" s="114"/>
      <c r="I180" s="146">
        <f t="shared" si="12"/>
        <v>2.8998383789743155E-2</v>
      </c>
      <c r="J180" s="111"/>
      <c r="K180" s="122"/>
      <c r="L180" s="123"/>
    </row>
    <row r="181" spans="1:12" ht="25.5" x14ac:dyDescent="0.25">
      <c r="A181" s="33" t="s">
        <v>205</v>
      </c>
      <c r="B181" s="10" t="s">
        <v>77</v>
      </c>
      <c r="C181" s="9" t="s">
        <v>26</v>
      </c>
      <c r="D181" s="89">
        <v>34.6</v>
      </c>
      <c r="E181" s="95">
        <v>1710.38</v>
      </c>
      <c r="F181" s="67"/>
      <c r="G181" s="95">
        <v>59179.15</v>
      </c>
      <c r="H181" s="114"/>
      <c r="I181" s="146">
        <f t="shared" si="12"/>
        <v>2.8998383789743155E-2</v>
      </c>
      <c r="J181" s="111"/>
      <c r="K181" s="122"/>
      <c r="L181" s="123"/>
    </row>
    <row r="182" spans="1:12" x14ac:dyDescent="0.25">
      <c r="A182" s="32" t="s">
        <v>345</v>
      </c>
      <c r="B182" s="8" t="s">
        <v>215</v>
      </c>
      <c r="C182" s="9"/>
      <c r="D182" s="89"/>
      <c r="E182" s="95"/>
      <c r="F182" s="67"/>
      <c r="G182" s="109"/>
      <c r="H182" s="110">
        <f>G183+G185+G199</f>
        <v>1791988.54</v>
      </c>
      <c r="I182" s="149">
        <f>H182/$K$163</f>
        <v>0.8780925618185037</v>
      </c>
      <c r="J182" s="111"/>
      <c r="K182" s="122"/>
      <c r="L182" s="123"/>
    </row>
    <row r="183" spans="1:12" x14ac:dyDescent="0.25">
      <c r="A183" s="32" t="s">
        <v>346</v>
      </c>
      <c r="B183" s="8" t="s">
        <v>217</v>
      </c>
      <c r="C183" s="9"/>
      <c r="D183" s="89"/>
      <c r="E183" s="95"/>
      <c r="F183" s="67"/>
      <c r="G183" s="109">
        <f>G184</f>
        <v>75235.55</v>
      </c>
      <c r="H183" s="114"/>
      <c r="I183" s="146">
        <f>G183/$K$163</f>
        <v>3.6866182659474001E-2</v>
      </c>
      <c r="J183" s="111"/>
      <c r="K183" s="122"/>
      <c r="L183" s="123"/>
    </row>
    <row r="184" spans="1:12" ht="25.5" x14ac:dyDescent="0.25">
      <c r="A184" s="33" t="s">
        <v>347</v>
      </c>
      <c r="B184" s="10" t="s">
        <v>219</v>
      </c>
      <c r="C184" s="9" t="s">
        <v>26</v>
      </c>
      <c r="D184" s="89">
        <v>96.32</v>
      </c>
      <c r="E184" s="95">
        <v>781.1</v>
      </c>
      <c r="F184" s="67"/>
      <c r="G184" s="95">
        <v>75235.55</v>
      </c>
      <c r="H184" s="114"/>
      <c r="I184" s="146">
        <f t="shared" ref="I184:I204" si="13">G184/$K$163</f>
        <v>3.6866182659474001E-2</v>
      </c>
      <c r="J184" s="111"/>
      <c r="K184" s="122"/>
      <c r="L184" s="123"/>
    </row>
    <row r="185" spans="1:12" x14ac:dyDescent="0.25">
      <c r="A185" s="32" t="s">
        <v>348</v>
      </c>
      <c r="B185" s="8" t="s">
        <v>221</v>
      </c>
      <c r="C185" s="9"/>
      <c r="D185" s="89"/>
      <c r="E185" s="95"/>
      <c r="F185" s="67"/>
      <c r="G185" s="109">
        <f>SUM(G186:G198)</f>
        <v>1213982.31</v>
      </c>
      <c r="H185" s="114"/>
      <c r="I185" s="146">
        <f t="shared" si="13"/>
        <v>0.59486364605336428</v>
      </c>
      <c r="J185" s="111"/>
      <c r="K185" s="122"/>
      <c r="L185" s="123"/>
    </row>
    <row r="186" spans="1:12" x14ac:dyDescent="0.25">
      <c r="A186" s="33" t="s">
        <v>349</v>
      </c>
      <c r="B186" s="10" t="s">
        <v>223</v>
      </c>
      <c r="C186" s="9" t="s">
        <v>26</v>
      </c>
      <c r="D186" s="89">
        <v>99.8</v>
      </c>
      <c r="E186" s="95">
        <v>89.09</v>
      </c>
      <c r="F186" s="67"/>
      <c r="G186" s="95">
        <v>8891.18</v>
      </c>
      <c r="H186" s="114"/>
      <c r="I186" s="146">
        <f t="shared" si="13"/>
        <v>4.3567683885910582E-3</v>
      </c>
      <c r="J186" s="111"/>
      <c r="K186" s="122"/>
      <c r="L186" s="123"/>
    </row>
    <row r="187" spans="1:12" x14ac:dyDescent="0.25">
      <c r="A187" s="33" t="s">
        <v>381</v>
      </c>
      <c r="B187" s="10" t="s">
        <v>225</v>
      </c>
      <c r="C187" s="9" t="s">
        <v>20</v>
      </c>
      <c r="D187" s="89">
        <v>49.9</v>
      </c>
      <c r="E187" s="95">
        <v>39.33</v>
      </c>
      <c r="F187" s="67"/>
      <c r="G187" s="95">
        <v>1962.57</v>
      </c>
      <c r="H187" s="114"/>
      <c r="I187" s="146">
        <f t="shared" si="13"/>
        <v>9.6167920752893913E-4</v>
      </c>
      <c r="J187" s="111"/>
      <c r="K187" s="122"/>
      <c r="L187" s="123"/>
    </row>
    <row r="188" spans="1:12" x14ac:dyDescent="0.25">
      <c r="A188" s="33" t="s">
        <v>382</v>
      </c>
      <c r="B188" s="10" t="s">
        <v>65</v>
      </c>
      <c r="C188" s="9" t="s">
        <v>42</v>
      </c>
      <c r="D188" s="89">
        <v>5988</v>
      </c>
      <c r="E188" s="95">
        <v>11.15</v>
      </c>
      <c r="F188" s="67"/>
      <c r="G188" s="95">
        <v>66766.2</v>
      </c>
      <c r="H188" s="114"/>
      <c r="I188" s="146">
        <f t="shared" si="13"/>
        <v>3.2716115249758558E-2</v>
      </c>
      <c r="J188" s="111"/>
      <c r="K188" s="122"/>
      <c r="L188" s="123"/>
    </row>
    <row r="189" spans="1:12" x14ac:dyDescent="0.25">
      <c r="A189" s="33" t="s">
        <v>382</v>
      </c>
      <c r="B189" s="10" t="s">
        <v>228</v>
      </c>
      <c r="C189" s="9" t="s">
        <v>26</v>
      </c>
      <c r="D189" s="89">
        <v>99.8</v>
      </c>
      <c r="E189" s="95">
        <v>875.73</v>
      </c>
      <c r="F189" s="67"/>
      <c r="G189" s="95">
        <v>87397.85</v>
      </c>
      <c r="H189" s="114"/>
      <c r="I189" s="146">
        <f t="shared" si="13"/>
        <v>4.2825833029004369E-2</v>
      </c>
      <c r="J189" s="111"/>
      <c r="K189" s="122"/>
      <c r="L189" s="123"/>
    </row>
    <row r="190" spans="1:12" ht="25.5" x14ac:dyDescent="0.25">
      <c r="A190" s="33" t="s">
        <v>383</v>
      </c>
      <c r="B190" s="10" t="s">
        <v>230</v>
      </c>
      <c r="C190" s="9" t="s">
        <v>20</v>
      </c>
      <c r="D190" s="89">
        <v>344.31</v>
      </c>
      <c r="E190" s="95">
        <v>151.13</v>
      </c>
      <c r="F190" s="67"/>
      <c r="G190" s="95">
        <v>52035.57</v>
      </c>
      <c r="H190" s="114"/>
      <c r="I190" s="146">
        <f t="shared" si="13"/>
        <v>2.5497957128110916E-2</v>
      </c>
      <c r="J190" s="111"/>
      <c r="K190" s="122"/>
      <c r="L190" s="123"/>
    </row>
    <row r="191" spans="1:12" x14ac:dyDescent="0.25">
      <c r="A191" s="33" t="s">
        <v>384</v>
      </c>
      <c r="B191" s="10" t="s">
        <v>232</v>
      </c>
      <c r="C191" s="9" t="s">
        <v>20</v>
      </c>
      <c r="D191" s="89">
        <v>239.52</v>
      </c>
      <c r="E191" s="95">
        <v>51.45</v>
      </c>
      <c r="F191" s="67"/>
      <c r="G191" s="95">
        <v>12323.3</v>
      </c>
      <c r="H191" s="114"/>
      <c r="I191" s="146">
        <f t="shared" si="13"/>
        <v>6.038542002650288E-3</v>
      </c>
      <c r="J191" s="111"/>
      <c r="K191" s="122"/>
      <c r="L191" s="123"/>
    </row>
    <row r="192" spans="1:12" x14ac:dyDescent="0.25">
      <c r="A192" s="33" t="s">
        <v>385</v>
      </c>
      <c r="B192" s="10" t="s">
        <v>234</v>
      </c>
      <c r="C192" s="9" t="s">
        <v>20</v>
      </c>
      <c r="D192" s="89">
        <v>823.35</v>
      </c>
      <c r="E192" s="95">
        <v>56.18</v>
      </c>
      <c r="F192" s="67"/>
      <c r="G192" s="95">
        <v>46255.8</v>
      </c>
      <c r="H192" s="114"/>
      <c r="I192" s="146">
        <f t="shared" si="13"/>
        <v>2.2665811200424497E-2</v>
      </c>
      <c r="J192" s="111"/>
      <c r="K192" s="122"/>
      <c r="L192" s="123"/>
    </row>
    <row r="193" spans="1:12" x14ac:dyDescent="0.25">
      <c r="A193" s="33" t="s">
        <v>386</v>
      </c>
      <c r="B193" s="10" t="s">
        <v>236</v>
      </c>
      <c r="C193" s="9" t="s">
        <v>42</v>
      </c>
      <c r="D193" s="89">
        <v>12534.88</v>
      </c>
      <c r="E193" s="95">
        <v>14.93</v>
      </c>
      <c r="F193" s="67"/>
      <c r="G193" s="95">
        <v>187145.76</v>
      </c>
      <c r="H193" s="114"/>
      <c r="I193" s="146">
        <f t="shared" si="13"/>
        <v>9.1703320732101815E-2</v>
      </c>
      <c r="J193" s="111"/>
      <c r="K193" s="122"/>
      <c r="L193" s="123"/>
    </row>
    <row r="194" spans="1:12" x14ac:dyDescent="0.25">
      <c r="A194" s="33" t="s">
        <v>387</v>
      </c>
      <c r="B194" s="10" t="s">
        <v>238</v>
      </c>
      <c r="C194" s="9" t="s">
        <v>42</v>
      </c>
      <c r="D194" s="89">
        <v>10968.02</v>
      </c>
      <c r="E194" s="95">
        <v>14.32</v>
      </c>
      <c r="F194" s="67"/>
      <c r="G194" s="95">
        <v>157062.04999999999</v>
      </c>
      <c r="H194" s="114"/>
      <c r="I194" s="146">
        <f t="shared" si="13"/>
        <v>7.6961997674921456E-2</v>
      </c>
      <c r="J194" s="111"/>
      <c r="K194" s="122"/>
      <c r="L194" s="123"/>
    </row>
    <row r="195" spans="1:12" ht="25.5" x14ac:dyDescent="0.25">
      <c r="A195" s="33" t="s">
        <v>388</v>
      </c>
      <c r="B195" s="10" t="s">
        <v>240</v>
      </c>
      <c r="C195" s="9" t="s">
        <v>42</v>
      </c>
      <c r="D195" s="89">
        <v>7834.3</v>
      </c>
      <c r="E195" s="95">
        <v>10.039999999999999</v>
      </c>
      <c r="F195" s="67"/>
      <c r="G195" s="95">
        <v>78656.37</v>
      </c>
      <c r="H195" s="114"/>
      <c r="I195" s="146">
        <f t="shared" si="13"/>
        <v>3.8542419158910518E-2</v>
      </c>
      <c r="J195" s="111"/>
      <c r="K195" s="122"/>
      <c r="L195" s="123"/>
    </row>
    <row r="196" spans="1:12" ht="25.5" x14ac:dyDescent="0.25">
      <c r="A196" s="33" t="s">
        <v>389</v>
      </c>
      <c r="B196" s="10" t="s">
        <v>242</v>
      </c>
      <c r="C196" s="9" t="s">
        <v>26</v>
      </c>
      <c r="D196" s="89">
        <v>19.96</v>
      </c>
      <c r="E196" s="95">
        <v>805.4</v>
      </c>
      <c r="F196" s="67"/>
      <c r="G196" s="95">
        <v>16075.78</v>
      </c>
      <c r="H196" s="114"/>
      <c r="I196" s="146">
        <f t="shared" si="13"/>
        <v>7.8772952663138489E-3</v>
      </c>
      <c r="J196" s="111"/>
      <c r="K196" s="122"/>
      <c r="L196" s="123"/>
    </row>
    <row r="197" spans="1:12" ht="25.5" x14ac:dyDescent="0.25">
      <c r="A197" s="33" t="s">
        <v>390</v>
      </c>
      <c r="B197" s="10" t="s">
        <v>244</v>
      </c>
      <c r="C197" s="9" t="s">
        <v>26</v>
      </c>
      <c r="D197" s="89">
        <v>464.07</v>
      </c>
      <c r="E197" s="95">
        <v>641.98</v>
      </c>
      <c r="F197" s="67"/>
      <c r="G197" s="95">
        <v>297923.65999999997</v>
      </c>
      <c r="H197" s="114"/>
      <c r="I197" s="146">
        <f t="shared" si="13"/>
        <v>0.14598561541902766</v>
      </c>
      <c r="J197" s="111"/>
      <c r="K197" s="122"/>
      <c r="L197" s="123"/>
    </row>
    <row r="198" spans="1:12" x14ac:dyDescent="0.25">
      <c r="A198" s="33" t="s">
        <v>391</v>
      </c>
      <c r="B198" s="10" t="s">
        <v>246</v>
      </c>
      <c r="C198" s="9" t="s">
        <v>57</v>
      </c>
      <c r="D198" s="89">
        <v>998</v>
      </c>
      <c r="E198" s="95">
        <v>201.89</v>
      </c>
      <c r="F198" s="67"/>
      <c r="G198" s="95">
        <v>201486.22</v>
      </c>
      <c r="H198" s="114"/>
      <c r="I198" s="146">
        <f t="shared" si="13"/>
        <v>9.8730291596020273E-2</v>
      </c>
      <c r="J198" s="111"/>
      <c r="K198" s="122"/>
      <c r="L198" s="123"/>
    </row>
    <row r="199" spans="1:12" x14ac:dyDescent="0.25">
      <c r="A199" s="32" t="s">
        <v>350</v>
      </c>
      <c r="B199" s="8" t="s">
        <v>248</v>
      </c>
      <c r="C199" s="9"/>
      <c r="D199" s="89"/>
      <c r="E199" s="95"/>
      <c r="F199" s="67"/>
      <c r="G199" s="109">
        <f>SUM(G200:G201)</f>
        <v>502770.68</v>
      </c>
      <c r="H199" s="114"/>
      <c r="I199" s="146">
        <f t="shared" si="13"/>
        <v>0.24636273310566545</v>
      </c>
      <c r="J199" s="111"/>
      <c r="K199" s="122"/>
      <c r="L199" s="123"/>
    </row>
    <row r="200" spans="1:12" ht="25.5" x14ac:dyDescent="0.25">
      <c r="A200" s="33" t="s">
        <v>351</v>
      </c>
      <c r="B200" s="10" t="s">
        <v>250</v>
      </c>
      <c r="C200" s="9" t="s">
        <v>26</v>
      </c>
      <c r="D200" s="89">
        <v>116</v>
      </c>
      <c r="E200" s="95">
        <v>3911.67</v>
      </c>
      <c r="F200" s="67"/>
      <c r="G200" s="95">
        <v>453753.72</v>
      </c>
      <c r="H200" s="114"/>
      <c r="I200" s="146">
        <f t="shared" si="13"/>
        <v>0.22234392549713292</v>
      </c>
      <c r="J200" s="111"/>
      <c r="K200" s="122"/>
      <c r="L200" s="123"/>
    </row>
    <row r="201" spans="1:12" x14ac:dyDescent="0.25">
      <c r="A201" s="33" t="s">
        <v>352</v>
      </c>
      <c r="B201" s="10" t="s">
        <v>252</v>
      </c>
      <c r="C201" s="9" t="s">
        <v>57</v>
      </c>
      <c r="D201" s="89">
        <v>464</v>
      </c>
      <c r="E201" s="95">
        <v>105.64</v>
      </c>
      <c r="F201" s="67"/>
      <c r="G201" s="95">
        <v>49016.959999999999</v>
      </c>
      <c r="H201" s="114"/>
      <c r="I201" s="146">
        <f t="shared" si="13"/>
        <v>2.401880760853254E-2</v>
      </c>
      <c r="J201" s="111"/>
      <c r="K201" s="122"/>
      <c r="L201" s="123"/>
    </row>
    <row r="202" spans="1:12" x14ac:dyDescent="0.25">
      <c r="A202" s="32" t="s">
        <v>392</v>
      </c>
      <c r="B202" s="8" t="s">
        <v>254</v>
      </c>
      <c r="C202" s="9"/>
      <c r="D202" s="89"/>
      <c r="E202" s="95"/>
      <c r="F202" s="67"/>
      <c r="G202" s="109"/>
      <c r="H202" s="110">
        <f>G203</f>
        <v>36357.360000000001</v>
      </c>
      <c r="I202" s="146">
        <f t="shared" si="13"/>
        <v>0</v>
      </c>
      <c r="J202" s="111"/>
      <c r="K202" s="122"/>
      <c r="L202" s="123"/>
    </row>
    <row r="203" spans="1:12" x14ac:dyDescent="0.25">
      <c r="A203" s="32" t="s">
        <v>354</v>
      </c>
      <c r="B203" s="8" t="s">
        <v>256</v>
      </c>
      <c r="C203" s="9"/>
      <c r="D203" s="89"/>
      <c r="E203" s="95"/>
      <c r="F203" s="67"/>
      <c r="G203" s="109">
        <f>G204</f>
        <v>36357.360000000001</v>
      </c>
      <c r="H203" s="114"/>
      <c r="I203" s="146">
        <f t="shared" si="13"/>
        <v>1.7815475194588908E-2</v>
      </c>
      <c r="J203" s="111"/>
      <c r="K203" s="122"/>
      <c r="L203" s="123"/>
    </row>
    <row r="204" spans="1:12" ht="25.5" x14ac:dyDescent="0.25">
      <c r="A204" s="33" t="s">
        <v>355</v>
      </c>
      <c r="B204" s="10" t="s">
        <v>258</v>
      </c>
      <c r="C204" s="9" t="s">
        <v>57</v>
      </c>
      <c r="D204" s="89">
        <v>516</v>
      </c>
      <c r="E204" s="95">
        <v>70.459999999999994</v>
      </c>
      <c r="F204" s="67"/>
      <c r="G204" s="95">
        <v>36357.360000000001</v>
      </c>
      <c r="H204" s="114"/>
      <c r="I204" s="146">
        <f t="shared" si="13"/>
        <v>1.7815475194588908E-2</v>
      </c>
      <c r="J204" s="111"/>
      <c r="K204" s="122"/>
      <c r="L204" s="123"/>
    </row>
    <row r="205" spans="1:12" x14ac:dyDescent="0.25">
      <c r="A205" s="32" t="s">
        <v>373</v>
      </c>
      <c r="B205" s="8" t="s">
        <v>260</v>
      </c>
      <c r="C205" s="9"/>
      <c r="D205" s="89"/>
      <c r="E205" s="95"/>
      <c r="F205" s="67"/>
      <c r="G205" s="109"/>
      <c r="H205" s="110">
        <f>G206+G208</f>
        <v>7316</v>
      </c>
      <c r="I205" s="149">
        <f>H205/$K$163</f>
        <v>3.5849142105920904E-3</v>
      </c>
      <c r="J205" s="111"/>
      <c r="K205" s="122"/>
      <c r="L205" s="123"/>
    </row>
    <row r="206" spans="1:12" x14ac:dyDescent="0.25">
      <c r="A206" s="32" t="s">
        <v>374</v>
      </c>
      <c r="B206" s="8" t="s">
        <v>262</v>
      </c>
      <c r="C206" s="9"/>
      <c r="D206" s="89"/>
      <c r="E206" s="95"/>
      <c r="F206" s="67"/>
      <c r="G206" s="109">
        <f>G207</f>
        <v>4500</v>
      </c>
      <c r="H206" s="114"/>
      <c r="I206" s="146">
        <f>G206/$K$163</f>
        <v>2.2050456462089129E-3</v>
      </c>
      <c r="J206" s="111"/>
      <c r="K206" s="122"/>
      <c r="L206" s="123"/>
    </row>
    <row r="207" spans="1:12" x14ac:dyDescent="0.25">
      <c r="A207" s="33" t="s">
        <v>375</v>
      </c>
      <c r="B207" s="10" t="s">
        <v>264</v>
      </c>
      <c r="C207" s="9" t="s">
        <v>23</v>
      </c>
      <c r="D207" s="89">
        <v>9</v>
      </c>
      <c r="E207" s="95">
        <v>500</v>
      </c>
      <c r="F207" s="67"/>
      <c r="G207" s="95">
        <v>4500</v>
      </c>
      <c r="H207" s="114"/>
      <c r="I207" s="146">
        <f t="shared" ref="I207:I209" si="14">G207/$K$163</f>
        <v>2.2050456462089129E-3</v>
      </c>
      <c r="J207" s="111"/>
      <c r="K207" s="122"/>
      <c r="L207" s="123"/>
    </row>
    <row r="208" spans="1:12" x14ac:dyDescent="0.25">
      <c r="A208" s="32" t="s">
        <v>393</v>
      </c>
      <c r="B208" s="8" t="s">
        <v>266</v>
      </c>
      <c r="C208" s="9"/>
      <c r="D208" s="89"/>
      <c r="E208" s="95"/>
      <c r="F208" s="67"/>
      <c r="G208" s="109">
        <f>G209</f>
        <v>2816</v>
      </c>
      <c r="H208" s="114"/>
      <c r="I208" s="146">
        <f t="shared" si="14"/>
        <v>1.3798685643831776E-3</v>
      </c>
      <c r="J208" s="111"/>
      <c r="K208" s="122"/>
      <c r="L208" s="123"/>
    </row>
    <row r="209" spans="1:12" ht="13.5" thickBot="1" x14ac:dyDescent="0.3">
      <c r="A209" s="34" t="s">
        <v>394</v>
      </c>
      <c r="B209" s="35" t="s">
        <v>268</v>
      </c>
      <c r="C209" s="36" t="s">
        <v>23</v>
      </c>
      <c r="D209" s="90">
        <v>2</v>
      </c>
      <c r="E209" s="96">
        <v>1408</v>
      </c>
      <c r="F209" s="77"/>
      <c r="G209" s="96">
        <v>2816</v>
      </c>
      <c r="H209" s="215"/>
      <c r="I209" s="151">
        <f t="shared" si="14"/>
        <v>1.3798685643831776E-3</v>
      </c>
      <c r="J209" s="116"/>
      <c r="K209" s="124"/>
      <c r="L209" s="125"/>
    </row>
    <row r="211" spans="1:12" s="7" customFormat="1" ht="15" x14ac:dyDescent="0.25">
      <c r="A211" s="11"/>
      <c r="B211" s="98" t="s">
        <v>271</v>
      </c>
      <c r="C211" s="9"/>
      <c r="D211" s="99"/>
      <c r="E211" s="95"/>
      <c r="G211" s="277">
        <f>SUM(K5:K161)</f>
        <v>5563781.4100000001</v>
      </c>
      <c r="H211" s="277"/>
      <c r="I211" s="277"/>
      <c r="J211" s="277"/>
      <c r="K211" s="277"/>
      <c r="L211" s="127">
        <v>1</v>
      </c>
    </row>
    <row r="212" spans="1:12" customFormat="1" ht="15" x14ac:dyDescent="0.25">
      <c r="A212" s="21"/>
      <c r="B212" s="98" t="s">
        <v>272</v>
      </c>
      <c r="C212" s="21"/>
      <c r="D212" s="100"/>
      <c r="E212" s="101"/>
      <c r="G212" s="277">
        <f>K163</f>
        <v>2040774.08</v>
      </c>
      <c r="H212" s="277"/>
      <c r="I212" s="277"/>
      <c r="J212" s="277"/>
      <c r="K212" s="277"/>
      <c r="L212" s="127">
        <v>1</v>
      </c>
    </row>
    <row r="213" spans="1:12" customFormat="1" ht="15" x14ac:dyDescent="0.25">
      <c r="A213" s="21"/>
      <c r="B213" s="98" t="s">
        <v>270</v>
      </c>
      <c r="C213" s="21"/>
      <c r="D213" s="100"/>
      <c r="E213" s="101"/>
      <c r="G213" s="277">
        <f>G211+G212</f>
        <v>7604555.4900000002</v>
      </c>
      <c r="H213" s="277"/>
      <c r="I213" s="277"/>
      <c r="J213" s="277"/>
      <c r="K213" s="277"/>
      <c r="L213" s="112"/>
    </row>
  </sheetData>
  <mergeCells count="4">
    <mergeCell ref="G211:K211"/>
    <mergeCell ref="G212:K212"/>
    <mergeCell ref="G213:K213"/>
    <mergeCell ref="G3:L3"/>
  </mergeCells>
  <pageMargins left="0.511811024" right="0.511811024" top="0.78740157499999996" bottom="0.78740157499999996" header="0.31496062000000002" footer="0.31496062000000002"/>
  <pageSetup paperSize="8" scale="84" fitToHeight="0" orientation="landscape" horizontalDpi="1200" verticalDpi="1200" r:id="rId1"/>
  <ignoredErrors>
    <ignoredError sqref="I30 I12 I68 I50 I157 I139 I126 I88 I177 I182 I20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0F8D-6A7C-4F7C-8CAB-15D04D8076AA}">
  <sheetPr>
    <pageSetUpPr fitToPage="1"/>
  </sheetPr>
  <dimension ref="A1:L151"/>
  <sheetViews>
    <sheetView zoomScale="115" zoomScaleNormal="115" workbookViewId="0">
      <pane ySplit="4" topLeftCell="A116" activePane="bottomLeft" state="frozen"/>
      <selection pane="bottomLeft" sqref="A1:L151"/>
    </sheetView>
  </sheetViews>
  <sheetFormatPr defaultColWidth="9.140625" defaultRowHeight="12.75" x14ac:dyDescent="0.25"/>
  <cols>
    <col min="1" max="1" width="18.7109375" style="63" customWidth="1"/>
    <col min="2" max="2" width="125.140625" style="41" customWidth="1"/>
    <col min="3" max="3" width="6.7109375" style="42" customWidth="1"/>
    <col min="4" max="4" width="11.5703125" style="43" bestFit="1" customWidth="1"/>
    <col min="5" max="5" width="16.7109375" style="60" customWidth="1"/>
    <col min="6" max="6" width="1.140625" style="62" customWidth="1"/>
    <col min="7" max="7" width="16.5703125" style="103" bestFit="1" customWidth="1"/>
    <col min="8" max="8" width="17.5703125" style="62" customWidth="1"/>
    <col min="9" max="9" width="10.140625" style="42" bestFit="1" customWidth="1"/>
    <col min="10" max="10" width="0.5703125" style="62" customWidth="1"/>
    <col min="11" max="11" width="18.5703125" style="66" customWidth="1"/>
    <col min="12" max="12" width="9.140625" style="42"/>
    <col min="13" max="16384" width="9.140625" style="62"/>
  </cols>
  <sheetData>
    <row r="1" spans="1:12" x14ac:dyDescent="0.25">
      <c r="A1" s="59" t="s">
        <v>4</v>
      </c>
    </row>
    <row r="3" spans="1:12" x14ac:dyDescent="0.25">
      <c r="A3" s="59" t="s">
        <v>395</v>
      </c>
      <c r="G3" s="294" t="s">
        <v>11</v>
      </c>
      <c r="H3" s="294"/>
      <c r="I3" s="294"/>
      <c r="J3" s="294"/>
      <c r="K3" s="294"/>
      <c r="L3" s="294"/>
    </row>
    <row r="4" spans="1:12" ht="13.5" thickBot="1" x14ac:dyDescent="0.3">
      <c r="A4" s="46" t="s">
        <v>6</v>
      </c>
      <c r="B4" s="47" t="s">
        <v>7</v>
      </c>
      <c r="C4" s="46" t="s">
        <v>8</v>
      </c>
      <c r="D4" s="48" t="s">
        <v>9</v>
      </c>
      <c r="E4" s="49" t="s">
        <v>10</v>
      </c>
      <c r="G4" s="295" t="s">
        <v>273</v>
      </c>
      <c r="H4" s="296"/>
      <c r="I4" s="104" t="s">
        <v>275</v>
      </c>
      <c r="J4" s="141"/>
      <c r="K4" s="93" t="s">
        <v>274</v>
      </c>
      <c r="L4" s="104" t="s">
        <v>12</v>
      </c>
    </row>
    <row r="5" spans="1:12" x14ac:dyDescent="0.25">
      <c r="A5" s="25">
        <v>1</v>
      </c>
      <c r="B5" s="26" t="s">
        <v>396</v>
      </c>
      <c r="C5" s="27"/>
      <c r="D5" s="88"/>
      <c r="E5" s="29"/>
      <c r="F5" s="156"/>
      <c r="G5" s="105"/>
      <c r="H5" s="72"/>
      <c r="I5" s="27"/>
      <c r="J5" s="72"/>
      <c r="K5" s="73">
        <f>SUM(H5:H61)</f>
        <v>3705680.7100000004</v>
      </c>
      <c r="L5" s="160">
        <f>K5/$G$149</f>
        <v>0.70833437963106227</v>
      </c>
    </row>
    <row r="6" spans="1:12" x14ac:dyDescent="0.25">
      <c r="A6" s="32" t="s">
        <v>14</v>
      </c>
      <c r="B6" s="8" t="s">
        <v>15</v>
      </c>
      <c r="C6" s="9"/>
      <c r="D6" s="89"/>
      <c r="E6" s="13"/>
      <c r="G6" s="109"/>
      <c r="H6" s="143">
        <f>G7+G12</f>
        <v>77577.849999999991</v>
      </c>
      <c r="I6" s="145">
        <f>H6/$K$5</f>
        <v>2.0934844653683071E-2</v>
      </c>
      <c r="J6" s="67"/>
      <c r="K6" s="81"/>
      <c r="L6" s="161"/>
    </row>
    <row r="7" spans="1:12" x14ac:dyDescent="0.25">
      <c r="A7" s="32" t="s">
        <v>16</v>
      </c>
      <c r="B7" s="8" t="s">
        <v>17</v>
      </c>
      <c r="C7" s="9"/>
      <c r="D7" s="89"/>
      <c r="E7" s="13"/>
      <c r="G7" s="109">
        <f>SUM(G8:G11)</f>
        <v>70809.09</v>
      </c>
      <c r="H7" s="67"/>
      <c r="I7" s="146">
        <f>G7/$K$5</f>
        <v>1.9108254472361162E-2</v>
      </c>
      <c r="J7" s="67"/>
      <c r="K7" s="81"/>
      <c r="L7" s="161"/>
    </row>
    <row r="8" spans="1:12" x14ac:dyDescent="0.25">
      <c r="A8" s="33" t="s">
        <v>18</v>
      </c>
      <c r="B8" s="10" t="s">
        <v>19</v>
      </c>
      <c r="C8" s="9" t="s">
        <v>20</v>
      </c>
      <c r="D8" s="89">
        <v>2581</v>
      </c>
      <c r="E8" s="13">
        <v>4.38</v>
      </c>
      <c r="G8" s="95">
        <v>11304.78</v>
      </c>
      <c r="H8" s="67"/>
      <c r="I8" s="146">
        <f t="shared" ref="I8:I18" si="0">G8/$K$5</f>
        <v>3.0506621818478254E-3</v>
      </c>
      <c r="J8" s="67"/>
      <c r="K8" s="81"/>
      <c r="L8" s="161"/>
    </row>
    <row r="9" spans="1:12" x14ac:dyDescent="0.25">
      <c r="A9" s="33" t="s">
        <v>21</v>
      </c>
      <c r="B9" s="10" t="s">
        <v>22</v>
      </c>
      <c r="C9" s="9" t="s">
        <v>23</v>
      </c>
      <c r="D9" s="89">
        <v>64.53</v>
      </c>
      <c r="E9" s="13">
        <v>217.25</v>
      </c>
      <c r="G9" s="95">
        <v>14018.06</v>
      </c>
      <c r="H9" s="67"/>
      <c r="I9" s="146">
        <f t="shared" si="0"/>
        <v>3.7828569423618793E-3</v>
      </c>
      <c r="J9" s="67"/>
      <c r="K9" s="81"/>
      <c r="L9" s="161"/>
    </row>
    <row r="10" spans="1:12" x14ac:dyDescent="0.25">
      <c r="A10" s="33" t="s">
        <v>24</v>
      </c>
      <c r="B10" s="10" t="s">
        <v>25</v>
      </c>
      <c r="C10" s="9" t="s">
        <v>26</v>
      </c>
      <c r="D10" s="89">
        <v>774.3</v>
      </c>
      <c r="E10" s="13">
        <v>17.54</v>
      </c>
      <c r="G10" s="95">
        <v>13581.22</v>
      </c>
      <c r="H10" s="67"/>
      <c r="I10" s="146">
        <f t="shared" si="0"/>
        <v>3.6649730677956864E-3</v>
      </c>
      <c r="J10" s="67"/>
      <c r="K10" s="81"/>
      <c r="L10" s="161"/>
    </row>
    <row r="11" spans="1:12" x14ac:dyDescent="0.25">
      <c r="A11" s="33" t="s">
        <v>27</v>
      </c>
      <c r="B11" s="10" t="s">
        <v>28</v>
      </c>
      <c r="C11" s="9" t="s">
        <v>29</v>
      </c>
      <c r="D11" s="89">
        <v>15563.43</v>
      </c>
      <c r="E11" s="13">
        <v>2.0499999999999998</v>
      </c>
      <c r="G11" s="95">
        <v>31905.03</v>
      </c>
      <c r="H11" s="67"/>
      <c r="I11" s="146">
        <f t="shared" si="0"/>
        <v>8.6097622803557716E-3</v>
      </c>
      <c r="J11" s="67"/>
      <c r="K11" s="81"/>
      <c r="L11" s="161"/>
    </row>
    <row r="12" spans="1:12" x14ac:dyDescent="0.25">
      <c r="A12" s="32" t="s">
        <v>397</v>
      </c>
      <c r="B12" s="8" t="s">
        <v>279</v>
      </c>
      <c r="C12" s="9"/>
      <c r="D12" s="89"/>
      <c r="E12" s="13"/>
      <c r="G12" s="109">
        <f>SUM(G13:G18)</f>
        <v>6768.76</v>
      </c>
      <c r="H12" s="67"/>
      <c r="I12" s="146">
        <f t="shared" si="0"/>
        <v>1.8265901813219088E-3</v>
      </c>
      <c r="J12" s="67"/>
      <c r="K12" s="81"/>
      <c r="L12" s="161"/>
    </row>
    <row r="13" spans="1:12" x14ac:dyDescent="0.25">
      <c r="A13" s="33" t="s">
        <v>398</v>
      </c>
      <c r="B13" s="10" t="s">
        <v>281</v>
      </c>
      <c r="C13" s="9" t="s">
        <v>26</v>
      </c>
      <c r="D13" s="89">
        <v>42</v>
      </c>
      <c r="E13" s="13">
        <v>54.08</v>
      </c>
      <c r="G13" s="95">
        <v>2271.36</v>
      </c>
      <c r="H13" s="67"/>
      <c r="I13" s="146">
        <f t="shared" si="0"/>
        <v>6.1294001770595072E-4</v>
      </c>
      <c r="J13" s="67"/>
      <c r="K13" s="81"/>
      <c r="L13" s="161"/>
    </row>
    <row r="14" spans="1:12" x14ac:dyDescent="0.25">
      <c r="A14" s="33" t="s">
        <v>399</v>
      </c>
      <c r="B14" s="10" t="s">
        <v>283</v>
      </c>
      <c r="C14" s="9" t="s">
        <v>26</v>
      </c>
      <c r="D14" s="89">
        <v>10.5</v>
      </c>
      <c r="E14" s="13">
        <v>78.37</v>
      </c>
      <c r="G14" s="95">
        <v>822.88</v>
      </c>
      <c r="H14" s="67"/>
      <c r="I14" s="146">
        <f t="shared" si="0"/>
        <v>2.2205906671327868E-4</v>
      </c>
      <c r="J14" s="67"/>
      <c r="K14" s="81"/>
      <c r="L14" s="161"/>
    </row>
    <row r="15" spans="1:12" x14ac:dyDescent="0.25">
      <c r="A15" s="33" t="s">
        <v>400</v>
      </c>
      <c r="B15" s="10" t="s">
        <v>285</v>
      </c>
      <c r="C15" s="9" t="s">
        <v>26</v>
      </c>
      <c r="D15" s="89">
        <v>3.68</v>
      </c>
      <c r="E15" s="13">
        <v>168.28</v>
      </c>
      <c r="G15" s="95">
        <v>618.42999999999995</v>
      </c>
      <c r="H15" s="67"/>
      <c r="I15" s="146">
        <f t="shared" si="0"/>
        <v>1.6688701709543667E-4</v>
      </c>
      <c r="J15" s="67"/>
      <c r="K15" s="81"/>
      <c r="L15" s="161"/>
    </row>
    <row r="16" spans="1:12" x14ac:dyDescent="0.25">
      <c r="A16" s="33" t="s">
        <v>401</v>
      </c>
      <c r="B16" s="10" t="s">
        <v>287</v>
      </c>
      <c r="C16" s="9" t="s">
        <v>20</v>
      </c>
      <c r="D16" s="89">
        <v>56</v>
      </c>
      <c r="E16" s="13">
        <v>6.36</v>
      </c>
      <c r="G16" s="95">
        <v>356.16</v>
      </c>
      <c r="H16" s="67"/>
      <c r="I16" s="146">
        <f t="shared" si="0"/>
        <v>9.6111896267501149E-5</v>
      </c>
      <c r="J16" s="67"/>
      <c r="K16" s="81"/>
      <c r="L16" s="161"/>
    </row>
    <row r="17" spans="1:12" x14ac:dyDescent="0.25">
      <c r="A17" s="33" t="s">
        <v>402</v>
      </c>
      <c r="B17" s="10" t="s">
        <v>25</v>
      </c>
      <c r="C17" s="9" t="s">
        <v>26</v>
      </c>
      <c r="D17" s="89">
        <v>56</v>
      </c>
      <c r="E17" s="13">
        <v>17.54</v>
      </c>
      <c r="G17" s="95">
        <v>982.24</v>
      </c>
      <c r="H17" s="67"/>
      <c r="I17" s="146">
        <f t="shared" si="0"/>
        <v>2.6506331140439777E-4</v>
      </c>
      <c r="J17" s="67"/>
      <c r="K17" s="81"/>
      <c r="L17" s="161"/>
    </row>
    <row r="18" spans="1:12" x14ac:dyDescent="0.25">
      <c r="A18" s="33" t="s">
        <v>403</v>
      </c>
      <c r="B18" s="10" t="s">
        <v>28</v>
      </c>
      <c r="C18" s="9" t="s">
        <v>29</v>
      </c>
      <c r="D18" s="89">
        <v>837.9</v>
      </c>
      <c r="E18" s="13">
        <v>2.0499999999999998</v>
      </c>
      <c r="G18" s="95">
        <v>1717.69</v>
      </c>
      <c r="H18" s="67"/>
      <c r="I18" s="146">
        <f t="shared" si="0"/>
        <v>4.6352887213534376E-4</v>
      </c>
      <c r="J18" s="67"/>
      <c r="K18" s="81"/>
      <c r="L18" s="161"/>
    </row>
    <row r="19" spans="1:12" x14ac:dyDescent="0.25">
      <c r="A19" s="32" t="s">
        <v>30</v>
      </c>
      <c r="B19" s="8" t="s">
        <v>31</v>
      </c>
      <c r="C19" s="9"/>
      <c r="D19" s="89"/>
      <c r="E19" s="13"/>
      <c r="G19" s="109"/>
      <c r="H19" s="143">
        <f>G20+G22+G37</f>
        <v>3607402.43</v>
      </c>
      <c r="I19" s="145">
        <f t="shared" ref="I19:I57" si="1">H19/$K$5</f>
        <v>0.9734790210784241</v>
      </c>
      <c r="J19" s="67"/>
      <c r="K19" s="81"/>
      <c r="L19" s="161"/>
    </row>
    <row r="20" spans="1:12" x14ac:dyDescent="0.25">
      <c r="A20" s="32" t="s">
        <v>32</v>
      </c>
      <c r="B20" s="8" t="s">
        <v>33</v>
      </c>
      <c r="C20" s="9"/>
      <c r="D20" s="89"/>
      <c r="E20" s="13"/>
      <c r="G20" s="109">
        <f>G21</f>
        <v>1135853.6000000001</v>
      </c>
      <c r="H20" s="67"/>
      <c r="I20" s="146">
        <f>G20/$K$5</f>
        <v>0.30651685584643906</v>
      </c>
      <c r="J20" s="67"/>
      <c r="K20" s="81"/>
      <c r="L20" s="161"/>
    </row>
    <row r="21" spans="1:12" ht="25.5" x14ac:dyDescent="0.25">
      <c r="A21" s="33" t="s">
        <v>34</v>
      </c>
      <c r="B21" s="10" t="s">
        <v>35</v>
      </c>
      <c r="C21" s="9" t="s">
        <v>20</v>
      </c>
      <c r="D21" s="89">
        <v>1505</v>
      </c>
      <c r="E21" s="13">
        <v>754.72</v>
      </c>
      <c r="G21" s="95">
        <v>1135853.6000000001</v>
      </c>
      <c r="H21" s="67"/>
      <c r="I21" s="146">
        <f t="shared" ref="I21:I56" si="2">G21/$K$5</f>
        <v>0.30651685584643906</v>
      </c>
      <c r="J21" s="67"/>
      <c r="K21" s="81"/>
      <c r="L21" s="161"/>
    </row>
    <row r="22" spans="1:12" x14ac:dyDescent="0.25">
      <c r="A22" s="32" t="s">
        <v>36</v>
      </c>
      <c r="B22" s="8" t="s">
        <v>37</v>
      </c>
      <c r="C22" s="9"/>
      <c r="D22" s="89"/>
      <c r="E22" s="13"/>
      <c r="G22" s="109">
        <f>SUM(G23:G36)</f>
        <v>2159643.14</v>
      </c>
      <c r="H22" s="67"/>
      <c r="I22" s="146">
        <f t="shared" si="2"/>
        <v>0.58279255796973395</v>
      </c>
      <c r="J22" s="67"/>
      <c r="K22" s="81"/>
      <c r="L22" s="161"/>
    </row>
    <row r="23" spans="1:12" x14ac:dyDescent="0.25">
      <c r="A23" s="33" t="s">
        <v>38</v>
      </c>
      <c r="B23" s="10" t="s">
        <v>39</v>
      </c>
      <c r="C23" s="9" t="s">
        <v>26</v>
      </c>
      <c r="D23" s="89">
        <v>390</v>
      </c>
      <c r="E23" s="13">
        <v>641.26</v>
      </c>
      <c r="G23" s="95">
        <v>250091.4</v>
      </c>
      <c r="H23" s="67"/>
      <c r="I23" s="146">
        <f t="shared" si="2"/>
        <v>6.7488653117121891E-2</v>
      </c>
      <c r="J23" s="67"/>
      <c r="K23" s="81"/>
      <c r="L23" s="161"/>
    </row>
    <row r="24" spans="1:12" x14ac:dyDescent="0.25">
      <c r="A24" s="33" t="s">
        <v>40</v>
      </c>
      <c r="B24" s="10" t="s">
        <v>41</v>
      </c>
      <c r="C24" s="9" t="s">
        <v>42</v>
      </c>
      <c r="D24" s="89">
        <v>9750</v>
      </c>
      <c r="E24" s="13">
        <v>8.64</v>
      </c>
      <c r="G24" s="95">
        <v>84240</v>
      </c>
      <c r="H24" s="67"/>
      <c r="I24" s="146">
        <f t="shared" si="2"/>
        <v>2.2732665491841577E-2</v>
      </c>
      <c r="J24" s="67"/>
      <c r="K24" s="81"/>
      <c r="L24" s="161"/>
    </row>
    <row r="25" spans="1:12" x14ac:dyDescent="0.25">
      <c r="A25" s="33" t="s">
        <v>43</v>
      </c>
      <c r="B25" s="10" t="s">
        <v>44</v>
      </c>
      <c r="C25" s="9" t="s">
        <v>42</v>
      </c>
      <c r="D25" s="89">
        <v>17550</v>
      </c>
      <c r="E25" s="13">
        <v>9.66</v>
      </c>
      <c r="G25" s="95">
        <v>169533</v>
      </c>
      <c r="H25" s="67"/>
      <c r="I25" s="146">
        <f t="shared" si="2"/>
        <v>4.5749489302331171E-2</v>
      </c>
      <c r="J25" s="67"/>
      <c r="K25" s="81"/>
      <c r="L25" s="161"/>
    </row>
    <row r="26" spans="1:12" x14ac:dyDescent="0.25">
      <c r="A26" s="33" t="s">
        <v>45</v>
      </c>
      <c r="B26" s="10" t="s">
        <v>46</v>
      </c>
      <c r="C26" s="9" t="s">
        <v>42</v>
      </c>
      <c r="D26" s="89">
        <v>17550</v>
      </c>
      <c r="E26" s="13">
        <v>8.84</v>
      </c>
      <c r="G26" s="95">
        <v>155142</v>
      </c>
      <c r="H26" s="67"/>
      <c r="I26" s="146">
        <f t="shared" si="2"/>
        <v>4.1865992280808235E-2</v>
      </c>
      <c r="J26" s="67"/>
      <c r="K26" s="81"/>
      <c r="L26" s="161"/>
    </row>
    <row r="27" spans="1:12" x14ac:dyDescent="0.25">
      <c r="A27" s="33" t="s">
        <v>47</v>
      </c>
      <c r="B27" s="10" t="s">
        <v>48</v>
      </c>
      <c r="C27" s="9" t="s">
        <v>26</v>
      </c>
      <c r="D27" s="89">
        <v>780</v>
      </c>
      <c r="E27" s="13">
        <v>25.13</v>
      </c>
      <c r="G27" s="95">
        <v>19601.400000000001</v>
      </c>
      <c r="H27" s="67"/>
      <c r="I27" s="146">
        <f t="shared" si="2"/>
        <v>5.2895544797220261E-3</v>
      </c>
      <c r="J27" s="67"/>
      <c r="K27" s="81"/>
      <c r="L27" s="161"/>
    </row>
    <row r="28" spans="1:12" x14ac:dyDescent="0.25">
      <c r="A28" s="33" t="s">
        <v>49</v>
      </c>
      <c r="B28" s="10" t="s">
        <v>50</v>
      </c>
      <c r="C28" s="9" t="s">
        <v>26</v>
      </c>
      <c r="D28" s="89">
        <v>19.5</v>
      </c>
      <c r="E28" s="13">
        <v>900.01</v>
      </c>
      <c r="G28" s="95">
        <v>17550.189999999999</v>
      </c>
      <c r="H28" s="67"/>
      <c r="I28" s="146">
        <f t="shared" si="2"/>
        <v>4.7360232500980896E-3</v>
      </c>
      <c r="J28" s="67"/>
      <c r="K28" s="81"/>
      <c r="L28" s="161"/>
    </row>
    <row r="29" spans="1:12" x14ac:dyDescent="0.25">
      <c r="A29" s="33" t="s">
        <v>51</v>
      </c>
      <c r="B29" s="10" t="s">
        <v>52</v>
      </c>
      <c r="C29" s="9" t="s">
        <v>26</v>
      </c>
      <c r="D29" s="89">
        <v>19.5</v>
      </c>
      <c r="E29" s="13">
        <v>1002.12</v>
      </c>
      <c r="G29" s="95">
        <v>19541.34</v>
      </c>
      <c r="H29" s="67"/>
      <c r="I29" s="146">
        <f t="shared" si="2"/>
        <v>5.2733469311769168E-3</v>
      </c>
      <c r="J29" s="67"/>
      <c r="K29" s="81"/>
      <c r="L29" s="161"/>
    </row>
    <row r="30" spans="1:12" x14ac:dyDescent="0.25">
      <c r="A30" s="33" t="s">
        <v>53</v>
      </c>
      <c r="B30" s="10" t="s">
        <v>54</v>
      </c>
      <c r="C30" s="9" t="s">
        <v>26</v>
      </c>
      <c r="D30" s="89">
        <v>487.5</v>
      </c>
      <c r="E30" s="13">
        <v>1037.21</v>
      </c>
      <c r="G30" s="95">
        <v>505639.88</v>
      </c>
      <c r="H30" s="67"/>
      <c r="I30" s="146">
        <f t="shared" si="2"/>
        <v>0.13644993175896147</v>
      </c>
      <c r="J30" s="67"/>
      <c r="K30" s="81"/>
      <c r="L30" s="161"/>
    </row>
    <row r="31" spans="1:12" x14ac:dyDescent="0.25">
      <c r="A31" s="33" t="s">
        <v>55</v>
      </c>
      <c r="B31" s="10" t="s">
        <v>56</v>
      </c>
      <c r="C31" s="9" t="s">
        <v>57</v>
      </c>
      <c r="D31" s="89">
        <v>487.5</v>
      </c>
      <c r="E31" s="13">
        <v>45.3</v>
      </c>
      <c r="G31" s="95">
        <v>22083.75</v>
      </c>
      <c r="H31" s="67"/>
      <c r="I31" s="146">
        <f t="shared" si="2"/>
        <v>5.9594314049793021E-3</v>
      </c>
      <c r="J31" s="67"/>
      <c r="K31" s="81"/>
      <c r="L31" s="161"/>
    </row>
    <row r="32" spans="1:12" x14ac:dyDescent="0.25">
      <c r="A32" s="33" t="s">
        <v>58</v>
      </c>
      <c r="B32" s="10" t="s">
        <v>59</v>
      </c>
      <c r="C32" s="9" t="s">
        <v>20</v>
      </c>
      <c r="D32" s="89">
        <v>975</v>
      </c>
      <c r="E32" s="13">
        <v>106.17</v>
      </c>
      <c r="G32" s="95">
        <v>103515.75</v>
      </c>
      <c r="H32" s="67"/>
      <c r="I32" s="146">
        <f t="shared" si="2"/>
        <v>2.7934341380426157E-2</v>
      </c>
      <c r="J32" s="67"/>
      <c r="K32" s="81"/>
      <c r="L32" s="161"/>
    </row>
    <row r="33" spans="1:12" x14ac:dyDescent="0.25">
      <c r="A33" s="33" t="s">
        <v>60</v>
      </c>
      <c r="B33" s="10" t="s">
        <v>61</v>
      </c>
      <c r="C33" s="9" t="s">
        <v>26</v>
      </c>
      <c r="D33" s="89">
        <v>780</v>
      </c>
      <c r="E33" s="13">
        <v>56.85</v>
      </c>
      <c r="G33" s="95">
        <v>44343</v>
      </c>
      <c r="H33" s="67"/>
      <c r="I33" s="146">
        <f t="shared" si="2"/>
        <v>1.1966222529733273E-2</v>
      </c>
      <c r="J33" s="67"/>
      <c r="K33" s="81"/>
      <c r="L33" s="161"/>
    </row>
    <row r="34" spans="1:12" x14ac:dyDescent="0.25">
      <c r="A34" s="33" t="s">
        <v>62</v>
      </c>
      <c r="B34" s="10" t="s">
        <v>63</v>
      </c>
      <c r="C34" s="9" t="s">
        <v>20</v>
      </c>
      <c r="D34" s="89">
        <v>780</v>
      </c>
      <c r="E34" s="13">
        <v>76.84</v>
      </c>
      <c r="G34" s="95">
        <v>59935.199999999997</v>
      </c>
      <c r="H34" s="67"/>
      <c r="I34" s="146">
        <f t="shared" si="2"/>
        <v>1.6173870522158393E-2</v>
      </c>
      <c r="J34" s="67"/>
      <c r="K34" s="81"/>
      <c r="L34" s="161"/>
    </row>
    <row r="35" spans="1:12" x14ac:dyDescent="0.25">
      <c r="A35" s="33" t="s">
        <v>64</v>
      </c>
      <c r="B35" s="10" t="s">
        <v>65</v>
      </c>
      <c r="C35" s="9" t="s">
        <v>42</v>
      </c>
      <c r="D35" s="89">
        <v>12187.5</v>
      </c>
      <c r="E35" s="13">
        <v>11.15</v>
      </c>
      <c r="G35" s="95">
        <v>135890.63</v>
      </c>
      <c r="H35" s="67"/>
      <c r="I35" s="146">
        <f t="shared" si="2"/>
        <v>3.667089548036101E-2</v>
      </c>
      <c r="J35" s="67"/>
      <c r="K35" s="81"/>
      <c r="L35" s="161"/>
    </row>
    <row r="36" spans="1:12" x14ac:dyDescent="0.25">
      <c r="A36" s="33" t="s">
        <v>66</v>
      </c>
      <c r="B36" s="10" t="s">
        <v>67</v>
      </c>
      <c r="C36" s="9" t="s">
        <v>26</v>
      </c>
      <c r="D36" s="89">
        <v>780</v>
      </c>
      <c r="E36" s="13">
        <v>734.02</v>
      </c>
      <c r="G36" s="95">
        <v>572535.6</v>
      </c>
      <c r="H36" s="67"/>
      <c r="I36" s="146">
        <f t="shared" si="2"/>
        <v>0.15450214004001439</v>
      </c>
      <c r="J36" s="67"/>
      <c r="K36" s="81"/>
      <c r="L36" s="161"/>
    </row>
    <row r="37" spans="1:12" x14ac:dyDescent="0.25">
      <c r="A37" s="32" t="s">
        <v>404</v>
      </c>
      <c r="B37" s="8" t="s">
        <v>144</v>
      </c>
      <c r="C37" s="9"/>
      <c r="D37" s="89"/>
      <c r="E37" s="13"/>
      <c r="G37" s="109">
        <f>G38+G44</f>
        <v>311905.69000000006</v>
      </c>
      <c r="H37" s="67"/>
      <c r="I37" s="146">
        <f t="shared" si="2"/>
        <v>8.4169607262251159E-2</v>
      </c>
      <c r="J37" s="67"/>
      <c r="K37" s="81"/>
      <c r="L37" s="161"/>
    </row>
    <row r="38" spans="1:12" x14ac:dyDescent="0.25">
      <c r="A38" s="32" t="s">
        <v>405</v>
      </c>
      <c r="B38" s="8" t="s">
        <v>146</v>
      </c>
      <c r="C38" s="9"/>
      <c r="D38" s="89"/>
      <c r="E38" s="13"/>
      <c r="G38" s="109">
        <f>SUM(G39:G43)</f>
        <v>143856.18000000002</v>
      </c>
      <c r="H38" s="67"/>
      <c r="I38" s="146">
        <f t="shared" si="2"/>
        <v>3.8820446567831797E-2</v>
      </c>
      <c r="J38" s="67"/>
      <c r="K38" s="81"/>
      <c r="L38" s="161"/>
    </row>
    <row r="39" spans="1:12" ht="25.5" x14ac:dyDescent="0.25">
      <c r="A39" s="33" t="s">
        <v>406</v>
      </c>
      <c r="B39" s="10" t="s">
        <v>148</v>
      </c>
      <c r="C39" s="9" t="s">
        <v>149</v>
      </c>
      <c r="D39" s="89">
        <v>171.7</v>
      </c>
      <c r="E39" s="13">
        <v>238.49</v>
      </c>
      <c r="G39" s="95">
        <v>40948.730000000003</v>
      </c>
      <c r="H39" s="67"/>
      <c r="I39" s="146">
        <f t="shared" si="2"/>
        <v>1.1050258563695846E-2</v>
      </c>
      <c r="J39" s="67"/>
      <c r="K39" s="81"/>
      <c r="L39" s="161"/>
    </row>
    <row r="40" spans="1:12" ht="25.5" x14ac:dyDescent="0.25">
      <c r="A40" s="33" t="s">
        <v>407</v>
      </c>
      <c r="B40" s="10" t="s">
        <v>151</v>
      </c>
      <c r="C40" s="9" t="s">
        <v>57</v>
      </c>
      <c r="D40" s="89">
        <v>303</v>
      </c>
      <c r="E40" s="13">
        <v>337.82</v>
      </c>
      <c r="G40" s="95">
        <v>102359.46</v>
      </c>
      <c r="H40" s="67"/>
      <c r="I40" s="146">
        <f t="shared" si="2"/>
        <v>2.7622309640379133E-2</v>
      </c>
      <c r="J40" s="67"/>
      <c r="K40" s="81"/>
      <c r="L40" s="161"/>
    </row>
    <row r="41" spans="1:12" x14ac:dyDescent="0.25">
      <c r="A41" s="33" t="s">
        <v>408</v>
      </c>
      <c r="B41" s="10" t="s">
        <v>153</v>
      </c>
      <c r="C41" s="9" t="s">
        <v>154</v>
      </c>
      <c r="D41" s="89">
        <v>580.75</v>
      </c>
      <c r="E41" s="13">
        <v>0.76</v>
      </c>
      <c r="G41" s="95">
        <v>441.37</v>
      </c>
      <c r="H41" s="67"/>
      <c r="I41" s="146">
        <f t="shared" si="2"/>
        <v>1.1910632203388077E-4</v>
      </c>
      <c r="J41" s="67"/>
      <c r="K41" s="81"/>
      <c r="L41" s="161"/>
    </row>
    <row r="42" spans="1:12" x14ac:dyDescent="0.25">
      <c r="A42" s="33" t="s">
        <v>409</v>
      </c>
      <c r="B42" s="10" t="s">
        <v>123</v>
      </c>
      <c r="C42" s="9" t="s">
        <v>26</v>
      </c>
      <c r="D42" s="89">
        <v>10.1</v>
      </c>
      <c r="E42" s="13">
        <v>10.49</v>
      </c>
      <c r="G42" s="95">
        <v>105.95</v>
      </c>
      <c r="H42" s="67"/>
      <c r="I42" s="146">
        <f t="shared" si="2"/>
        <v>2.8591238234337786E-5</v>
      </c>
      <c r="J42" s="67"/>
      <c r="K42" s="81"/>
      <c r="L42" s="161"/>
    </row>
    <row r="43" spans="1:12" x14ac:dyDescent="0.25">
      <c r="A43" s="33" t="s">
        <v>410</v>
      </c>
      <c r="B43" s="10" t="s">
        <v>157</v>
      </c>
      <c r="C43" s="9" t="s">
        <v>158</v>
      </c>
      <c r="D43" s="89">
        <v>0.81</v>
      </c>
      <c r="E43" s="13">
        <v>0.83</v>
      </c>
      <c r="G43" s="95">
        <v>0.67</v>
      </c>
      <c r="H43" s="67"/>
      <c r="I43" s="146">
        <f t="shared" si="2"/>
        <v>1.8080348859845509E-7</v>
      </c>
      <c r="J43" s="67"/>
      <c r="K43" s="81"/>
      <c r="L43" s="161"/>
    </row>
    <row r="44" spans="1:12" x14ac:dyDescent="0.25">
      <c r="A44" s="32" t="s">
        <v>411</v>
      </c>
      <c r="B44" s="8" t="s">
        <v>160</v>
      </c>
      <c r="C44" s="9"/>
      <c r="D44" s="89"/>
      <c r="E44" s="13"/>
      <c r="G44" s="109">
        <f>SUM(G45:G56)</f>
        <v>168049.51</v>
      </c>
      <c r="H44" s="67"/>
      <c r="I44" s="146">
        <f t="shared" si="2"/>
        <v>4.5349160694419348E-2</v>
      </c>
      <c r="J44" s="67"/>
      <c r="K44" s="81"/>
      <c r="L44" s="161"/>
    </row>
    <row r="45" spans="1:12" ht="25.5" x14ac:dyDescent="0.25">
      <c r="A45" s="33" t="s">
        <v>412</v>
      </c>
      <c r="B45" s="10" t="s">
        <v>162</v>
      </c>
      <c r="C45" s="9" t="s">
        <v>20</v>
      </c>
      <c r="D45" s="89">
        <v>50.5</v>
      </c>
      <c r="E45" s="13">
        <v>42.99</v>
      </c>
      <c r="G45" s="95">
        <v>2170.9899999999998</v>
      </c>
      <c r="H45" s="67"/>
      <c r="I45" s="146">
        <f t="shared" si="2"/>
        <v>5.8585457569008948E-4</v>
      </c>
      <c r="J45" s="67"/>
      <c r="K45" s="81"/>
      <c r="L45" s="161"/>
    </row>
    <row r="46" spans="1:12" x14ac:dyDescent="0.25">
      <c r="A46" s="33" t="s">
        <v>413</v>
      </c>
      <c r="B46" s="10" t="s">
        <v>164</v>
      </c>
      <c r="C46" s="9" t="s">
        <v>42</v>
      </c>
      <c r="D46" s="89">
        <v>3030</v>
      </c>
      <c r="E46" s="13">
        <v>13.5</v>
      </c>
      <c r="G46" s="95">
        <v>40905</v>
      </c>
      <c r="H46" s="67"/>
      <c r="I46" s="146">
        <f t="shared" si="2"/>
        <v>1.103845776286538E-2</v>
      </c>
      <c r="J46" s="67"/>
      <c r="K46" s="81"/>
      <c r="L46" s="161"/>
    </row>
    <row r="47" spans="1:12" x14ac:dyDescent="0.25">
      <c r="A47" s="33" t="s">
        <v>414</v>
      </c>
      <c r="B47" s="10" t="s">
        <v>166</v>
      </c>
      <c r="C47" s="9" t="s">
        <v>42</v>
      </c>
      <c r="D47" s="89">
        <v>5050</v>
      </c>
      <c r="E47" s="13">
        <v>10.35</v>
      </c>
      <c r="G47" s="95">
        <v>52267.5</v>
      </c>
      <c r="H47" s="67"/>
      <c r="I47" s="146">
        <f t="shared" si="2"/>
        <v>1.4104696030327987E-2</v>
      </c>
      <c r="J47" s="67"/>
      <c r="K47" s="81"/>
      <c r="L47" s="161"/>
    </row>
    <row r="48" spans="1:12" x14ac:dyDescent="0.25">
      <c r="A48" s="33" t="s">
        <v>415</v>
      </c>
      <c r="B48" s="10" t="s">
        <v>168</v>
      </c>
      <c r="C48" s="9" t="s">
        <v>26</v>
      </c>
      <c r="D48" s="89">
        <v>75.75</v>
      </c>
      <c r="E48" s="13">
        <v>648.51</v>
      </c>
      <c r="G48" s="95">
        <v>49124.63</v>
      </c>
      <c r="H48" s="67"/>
      <c r="I48" s="146">
        <f t="shared" si="2"/>
        <v>1.3256573850907945E-2</v>
      </c>
      <c r="J48" s="67"/>
      <c r="K48" s="81"/>
      <c r="L48" s="161"/>
    </row>
    <row r="49" spans="1:12" ht="25.5" x14ac:dyDescent="0.25">
      <c r="A49" s="33" t="s">
        <v>416</v>
      </c>
      <c r="B49" s="10" t="s">
        <v>170</v>
      </c>
      <c r="C49" s="9" t="s">
        <v>57</v>
      </c>
      <c r="D49" s="89">
        <v>15.15</v>
      </c>
      <c r="E49" s="13">
        <v>73.319999999999993</v>
      </c>
      <c r="G49" s="95">
        <v>1110.8</v>
      </c>
      <c r="H49" s="67"/>
      <c r="I49" s="146">
        <f t="shared" si="2"/>
        <v>2.997559927390506E-4</v>
      </c>
      <c r="J49" s="67"/>
      <c r="K49" s="81"/>
      <c r="L49" s="161"/>
    </row>
    <row r="50" spans="1:12" ht="25.5" x14ac:dyDescent="0.25">
      <c r="A50" s="33" t="s">
        <v>417</v>
      </c>
      <c r="B50" s="10" t="s">
        <v>172</v>
      </c>
      <c r="C50" s="9" t="s">
        <v>57</v>
      </c>
      <c r="D50" s="89">
        <v>35.35</v>
      </c>
      <c r="E50" s="13">
        <v>100.93</v>
      </c>
      <c r="G50" s="95">
        <v>3567.88</v>
      </c>
      <c r="H50" s="67"/>
      <c r="I50" s="146">
        <f t="shared" si="2"/>
        <v>9.6281365806068046E-4</v>
      </c>
      <c r="J50" s="67"/>
      <c r="K50" s="81"/>
      <c r="L50" s="161"/>
    </row>
    <row r="51" spans="1:12" x14ac:dyDescent="0.25">
      <c r="A51" s="33" t="s">
        <v>418</v>
      </c>
      <c r="B51" s="10" t="s">
        <v>174</v>
      </c>
      <c r="C51" s="9" t="s">
        <v>57</v>
      </c>
      <c r="D51" s="89">
        <v>25.25</v>
      </c>
      <c r="E51" s="13">
        <v>381.67</v>
      </c>
      <c r="G51" s="95">
        <v>9637.17</v>
      </c>
      <c r="H51" s="67"/>
      <c r="I51" s="146">
        <f t="shared" si="2"/>
        <v>2.6006476958453334E-3</v>
      </c>
      <c r="J51" s="67"/>
      <c r="K51" s="81"/>
      <c r="L51" s="161"/>
    </row>
    <row r="52" spans="1:12" ht="25.5" x14ac:dyDescent="0.25">
      <c r="A52" s="33" t="s">
        <v>419</v>
      </c>
      <c r="B52" s="10" t="s">
        <v>176</v>
      </c>
      <c r="C52" s="9" t="s">
        <v>149</v>
      </c>
      <c r="D52" s="89">
        <v>7.58</v>
      </c>
      <c r="E52" s="13">
        <v>7.22</v>
      </c>
      <c r="G52" s="95">
        <v>54.69</v>
      </c>
      <c r="H52" s="67"/>
      <c r="I52" s="146">
        <f t="shared" si="2"/>
        <v>1.4758422076790311E-5</v>
      </c>
      <c r="J52" s="67"/>
      <c r="K52" s="81"/>
      <c r="L52" s="161"/>
    </row>
    <row r="53" spans="1:12" x14ac:dyDescent="0.25">
      <c r="A53" s="33" t="s">
        <v>420</v>
      </c>
      <c r="B53" s="10" t="s">
        <v>178</v>
      </c>
      <c r="C53" s="9" t="s">
        <v>23</v>
      </c>
      <c r="D53" s="89">
        <v>75.75</v>
      </c>
      <c r="E53" s="13">
        <v>36.69</v>
      </c>
      <c r="G53" s="95">
        <v>2779.27</v>
      </c>
      <c r="H53" s="67"/>
      <c r="I53" s="146">
        <f t="shared" si="2"/>
        <v>7.5000255486123621E-4</v>
      </c>
      <c r="J53" s="67"/>
      <c r="K53" s="81"/>
      <c r="L53" s="161"/>
    </row>
    <row r="54" spans="1:12" x14ac:dyDescent="0.25">
      <c r="A54" s="33" t="s">
        <v>421</v>
      </c>
      <c r="B54" s="10" t="s">
        <v>180</v>
      </c>
      <c r="C54" s="9" t="s">
        <v>23</v>
      </c>
      <c r="D54" s="89">
        <v>54.04</v>
      </c>
      <c r="E54" s="13">
        <v>29.6</v>
      </c>
      <c r="G54" s="95">
        <v>1599.44</v>
      </c>
      <c r="H54" s="67"/>
      <c r="I54" s="146">
        <f t="shared" si="2"/>
        <v>4.316184056774821E-4</v>
      </c>
      <c r="J54" s="67"/>
      <c r="K54" s="81"/>
      <c r="L54" s="161"/>
    </row>
    <row r="55" spans="1:12" x14ac:dyDescent="0.25">
      <c r="A55" s="33" t="s">
        <v>422</v>
      </c>
      <c r="B55" s="10" t="s">
        <v>182</v>
      </c>
      <c r="C55" s="9" t="s">
        <v>26</v>
      </c>
      <c r="D55" s="89">
        <v>10.1</v>
      </c>
      <c r="E55" s="13">
        <v>218.93</v>
      </c>
      <c r="G55" s="95">
        <v>2211.19</v>
      </c>
      <c r="H55" s="67"/>
      <c r="I55" s="146">
        <f t="shared" si="2"/>
        <v>5.967027850059969E-4</v>
      </c>
      <c r="J55" s="67"/>
      <c r="K55" s="81"/>
      <c r="L55" s="161"/>
    </row>
    <row r="56" spans="1:12" ht="25.5" x14ac:dyDescent="0.25">
      <c r="A56" s="33" t="s">
        <v>423</v>
      </c>
      <c r="B56" s="10" t="s">
        <v>184</v>
      </c>
      <c r="C56" s="9" t="s">
        <v>20</v>
      </c>
      <c r="D56" s="89">
        <v>101</v>
      </c>
      <c r="E56" s="13">
        <v>25.95</v>
      </c>
      <c r="G56" s="95">
        <v>2620.9499999999998</v>
      </c>
      <c r="H56" s="67"/>
      <c r="I56" s="146">
        <f t="shared" si="2"/>
        <v>7.0727896036137429E-4</v>
      </c>
      <c r="J56" s="67"/>
      <c r="K56" s="81"/>
      <c r="L56" s="161"/>
    </row>
    <row r="57" spans="1:12" x14ac:dyDescent="0.25">
      <c r="A57" s="32" t="s">
        <v>68</v>
      </c>
      <c r="B57" s="8" t="s">
        <v>69</v>
      </c>
      <c r="C57" s="9"/>
      <c r="D57" s="89"/>
      <c r="E57" s="13"/>
      <c r="G57" s="109"/>
      <c r="H57" s="143">
        <f>G58+G60</f>
        <v>20700.43</v>
      </c>
      <c r="I57" s="145">
        <f t="shared" si="1"/>
        <v>5.5861342678927128E-3</v>
      </c>
      <c r="J57" s="67"/>
      <c r="K57" s="81"/>
      <c r="L57" s="161"/>
    </row>
    <row r="58" spans="1:12" x14ac:dyDescent="0.25">
      <c r="A58" s="32" t="s">
        <v>70</v>
      </c>
      <c r="B58" s="8" t="s">
        <v>71</v>
      </c>
      <c r="C58" s="9"/>
      <c r="D58" s="89"/>
      <c r="E58" s="13"/>
      <c r="G58" s="109">
        <f>G59</f>
        <v>19674.2</v>
      </c>
      <c r="H58" s="67"/>
      <c r="I58" s="146">
        <f>G58/$K$5</f>
        <v>5.3091999931100375E-3</v>
      </c>
      <c r="J58" s="67"/>
      <c r="K58" s="81"/>
      <c r="L58" s="161"/>
    </row>
    <row r="59" spans="1:12" x14ac:dyDescent="0.25">
      <c r="A59" s="33" t="s">
        <v>72</v>
      </c>
      <c r="B59" s="10" t="s">
        <v>73</v>
      </c>
      <c r="C59" s="9" t="s">
        <v>57</v>
      </c>
      <c r="D59" s="89">
        <v>644</v>
      </c>
      <c r="E59" s="13">
        <v>30.55</v>
      </c>
      <c r="G59" s="95">
        <v>19674.2</v>
      </c>
      <c r="H59" s="67"/>
      <c r="I59" s="146">
        <f t="shared" ref="I59:I61" si="3">G59/$K$5</f>
        <v>5.3091999931100375E-3</v>
      </c>
      <c r="J59" s="67"/>
      <c r="K59" s="81"/>
      <c r="L59" s="161"/>
    </row>
    <row r="60" spans="1:12" x14ac:dyDescent="0.25">
      <c r="A60" s="32" t="s">
        <v>74</v>
      </c>
      <c r="B60" s="8" t="s">
        <v>75</v>
      </c>
      <c r="C60" s="9"/>
      <c r="D60" s="89"/>
      <c r="E60" s="13"/>
      <c r="G60" s="109">
        <f>G61</f>
        <v>1026.23</v>
      </c>
      <c r="H60" s="67"/>
      <c r="I60" s="146">
        <f t="shared" si="3"/>
        <v>2.7693427478267546E-4</v>
      </c>
      <c r="J60" s="67"/>
      <c r="K60" s="81"/>
      <c r="L60" s="161"/>
    </row>
    <row r="61" spans="1:12" ht="25.5" x14ac:dyDescent="0.25">
      <c r="A61" s="33" t="s">
        <v>76</v>
      </c>
      <c r="B61" s="10" t="s">
        <v>77</v>
      </c>
      <c r="C61" s="9" t="s">
        <v>26</v>
      </c>
      <c r="D61" s="89">
        <v>0.6</v>
      </c>
      <c r="E61" s="13">
        <v>1710.38</v>
      </c>
      <c r="G61" s="95">
        <v>1026.23</v>
      </c>
      <c r="H61" s="67"/>
      <c r="I61" s="146">
        <f t="shared" si="3"/>
        <v>2.7693427478267546E-4</v>
      </c>
      <c r="J61" s="67"/>
      <c r="K61" s="81"/>
      <c r="L61" s="161"/>
    </row>
    <row r="62" spans="1:12" x14ac:dyDescent="0.25">
      <c r="A62" s="33"/>
      <c r="B62" s="10"/>
      <c r="C62" s="9"/>
      <c r="D62" s="89"/>
      <c r="E62" s="13"/>
      <c r="G62" s="95"/>
      <c r="H62" s="67"/>
      <c r="I62" s="9"/>
      <c r="J62" s="67"/>
      <c r="K62" s="81"/>
      <c r="L62" s="216"/>
    </row>
    <row r="63" spans="1:12" x14ac:dyDescent="0.25">
      <c r="A63" s="32">
        <v>2</v>
      </c>
      <c r="B63" s="217" t="s">
        <v>290</v>
      </c>
      <c r="C63" s="9"/>
      <c r="D63" s="89"/>
      <c r="E63" s="13"/>
      <c r="G63" s="109"/>
      <c r="H63" s="67"/>
      <c r="I63" s="9"/>
      <c r="J63" s="67"/>
      <c r="K63" s="68">
        <f>SUM(H64:H90)</f>
        <v>1052807.1100000001</v>
      </c>
      <c r="L63" s="169">
        <f>K63/$G$149</f>
        <v>0.20124223577077191</v>
      </c>
    </row>
    <row r="64" spans="1:12" x14ac:dyDescent="0.25">
      <c r="A64" s="32" t="s">
        <v>79</v>
      </c>
      <c r="B64" s="8" t="s">
        <v>15</v>
      </c>
      <c r="C64" s="9"/>
      <c r="D64" s="89"/>
      <c r="E64" s="13"/>
      <c r="G64" s="109"/>
      <c r="H64" s="143">
        <f>G65</f>
        <v>51714.51</v>
      </c>
      <c r="I64" s="145">
        <f>H64/$K$63</f>
        <v>4.9120593420004542E-2</v>
      </c>
      <c r="J64" s="67"/>
      <c r="K64" s="81"/>
      <c r="L64" s="161"/>
    </row>
    <row r="65" spans="1:12" x14ac:dyDescent="0.25">
      <c r="A65" s="32" t="s">
        <v>80</v>
      </c>
      <c r="B65" s="8" t="s">
        <v>17</v>
      </c>
      <c r="C65" s="9"/>
      <c r="D65" s="89"/>
      <c r="E65" s="13"/>
      <c r="G65" s="109">
        <f>SUM(G66:G69)</f>
        <v>51714.51</v>
      </c>
      <c r="H65" s="67"/>
      <c r="I65" s="146">
        <f>G65/$K$63</f>
        <v>4.9120593420004542E-2</v>
      </c>
      <c r="J65" s="67"/>
      <c r="K65" s="81"/>
      <c r="L65" s="161"/>
    </row>
    <row r="66" spans="1:12" x14ac:dyDescent="0.25">
      <c r="A66" s="33" t="s">
        <v>81</v>
      </c>
      <c r="B66" s="10" t="s">
        <v>19</v>
      </c>
      <c r="C66" s="9" t="s">
        <v>20</v>
      </c>
      <c r="D66" s="89">
        <v>1885</v>
      </c>
      <c r="E66" s="13">
        <v>4.38</v>
      </c>
      <c r="G66" s="95">
        <v>8256.2999999999993</v>
      </c>
      <c r="H66" s="67"/>
      <c r="I66" s="146">
        <f t="shared" ref="I66:I69" si="4">G66/$K$63</f>
        <v>7.8421772816484863E-3</v>
      </c>
      <c r="J66" s="67"/>
      <c r="K66" s="81"/>
      <c r="L66" s="161"/>
    </row>
    <row r="67" spans="1:12" x14ac:dyDescent="0.25">
      <c r="A67" s="33" t="s">
        <v>82</v>
      </c>
      <c r="B67" s="10" t="s">
        <v>22</v>
      </c>
      <c r="C67" s="9" t="s">
        <v>23</v>
      </c>
      <c r="D67" s="89">
        <v>47.13</v>
      </c>
      <c r="E67" s="13">
        <v>217.25</v>
      </c>
      <c r="G67" s="95">
        <v>10237.91</v>
      </c>
      <c r="H67" s="67"/>
      <c r="I67" s="146">
        <f t="shared" si="4"/>
        <v>9.7243929137218674E-3</v>
      </c>
      <c r="J67" s="67"/>
      <c r="K67" s="81"/>
      <c r="L67" s="161"/>
    </row>
    <row r="68" spans="1:12" x14ac:dyDescent="0.25">
      <c r="A68" s="33" t="s">
        <v>83</v>
      </c>
      <c r="B68" s="10" t="s">
        <v>25</v>
      </c>
      <c r="C68" s="9" t="s">
        <v>26</v>
      </c>
      <c r="D68" s="89">
        <v>565.5</v>
      </c>
      <c r="E68" s="13">
        <v>17.54</v>
      </c>
      <c r="G68" s="95">
        <v>9918.8700000000008</v>
      </c>
      <c r="H68" s="67"/>
      <c r="I68" s="146">
        <f t="shared" si="4"/>
        <v>9.4213554465831829E-3</v>
      </c>
      <c r="J68" s="67"/>
      <c r="K68" s="81"/>
      <c r="L68" s="161"/>
    </row>
    <row r="69" spans="1:12" x14ac:dyDescent="0.25">
      <c r="A69" s="33" t="s">
        <v>84</v>
      </c>
      <c r="B69" s="10" t="s">
        <v>28</v>
      </c>
      <c r="C69" s="9" t="s">
        <v>29</v>
      </c>
      <c r="D69" s="89">
        <v>11366.55</v>
      </c>
      <c r="E69" s="13">
        <v>2.0499999999999998</v>
      </c>
      <c r="G69" s="95">
        <v>23301.43</v>
      </c>
      <c r="H69" s="67"/>
      <c r="I69" s="146">
        <f t="shared" si="4"/>
        <v>2.2132667778051004E-2</v>
      </c>
      <c r="J69" s="67"/>
      <c r="K69" s="81"/>
      <c r="L69" s="161"/>
    </row>
    <row r="70" spans="1:12" x14ac:dyDescent="0.25">
      <c r="A70" s="32" t="s">
        <v>85</v>
      </c>
      <c r="B70" s="8" t="s">
        <v>31</v>
      </c>
      <c r="C70" s="9"/>
      <c r="D70" s="89"/>
      <c r="E70" s="13"/>
      <c r="G70" s="109"/>
      <c r="H70" s="143">
        <f>G71</f>
        <v>990113.31</v>
      </c>
      <c r="I70" s="145">
        <f t="shared" ref="I70:I86" si="5">H70/$K$63</f>
        <v>0.94045082009372061</v>
      </c>
      <c r="J70" s="67"/>
      <c r="K70" s="81"/>
      <c r="L70" s="161"/>
    </row>
    <row r="71" spans="1:12" x14ac:dyDescent="0.25">
      <c r="A71" s="32" t="s">
        <v>88</v>
      </c>
      <c r="B71" s="8" t="s">
        <v>37</v>
      </c>
      <c r="C71" s="9"/>
      <c r="D71" s="89"/>
      <c r="E71" s="13"/>
      <c r="G71" s="109">
        <f>SUM(G72:G85)</f>
        <v>990113.31</v>
      </c>
      <c r="H71" s="67"/>
      <c r="I71" s="146">
        <f t="shared" ref="I71:I85" si="6">G71/$K$63</f>
        <v>0.94045082009372061</v>
      </c>
      <c r="J71" s="67"/>
      <c r="K71" s="81"/>
      <c r="L71" s="161"/>
    </row>
    <row r="72" spans="1:12" x14ac:dyDescent="0.25">
      <c r="A72" s="33" t="s">
        <v>89</v>
      </c>
      <c r="B72" s="10" t="s">
        <v>39</v>
      </c>
      <c r="C72" s="9" t="s">
        <v>26</v>
      </c>
      <c r="D72" s="89">
        <v>178.8</v>
      </c>
      <c r="E72" s="13">
        <v>641.26</v>
      </c>
      <c r="G72" s="95">
        <v>114657.29</v>
      </c>
      <c r="H72" s="67"/>
      <c r="I72" s="146">
        <f t="shared" si="6"/>
        <v>0.10890626489025135</v>
      </c>
      <c r="J72" s="67"/>
      <c r="K72" s="81"/>
      <c r="L72" s="161"/>
    </row>
    <row r="73" spans="1:12" x14ac:dyDescent="0.25">
      <c r="A73" s="33" t="s">
        <v>90</v>
      </c>
      <c r="B73" s="10" t="s">
        <v>41</v>
      </c>
      <c r="C73" s="9" t="s">
        <v>42</v>
      </c>
      <c r="D73" s="89">
        <v>4470</v>
      </c>
      <c r="E73" s="13">
        <v>8.64</v>
      </c>
      <c r="G73" s="95">
        <v>38620.800000000003</v>
      </c>
      <c r="H73" s="67"/>
      <c r="I73" s="146">
        <f t="shared" si="6"/>
        <v>3.6683642837480455E-2</v>
      </c>
      <c r="J73" s="67"/>
      <c r="K73" s="81"/>
      <c r="L73" s="161"/>
    </row>
    <row r="74" spans="1:12" x14ac:dyDescent="0.25">
      <c r="A74" s="33" t="s">
        <v>91</v>
      </c>
      <c r="B74" s="10" t="s">
        <v>44</v>
      </c>
      <c r="C74" s="9" t="s">
        <v>42</v>
      </c>
      <c r="D74" s="89">
        <v>8046</v>
      </c>
      <c r="E74" s="13">
        <v>9.66</v>
      </c>
      <c r="G74" s="95">
        <v>77724.36</v>
      </c>
      <c r="H74" s="67"/>
      <c r="I74" s="146">
        <f t="shared" si="6"/>
        <v>7.3825831210429418E-2</v>
      </c>
      <c r="J74" s="67"/>
      <c r="K74" s="81"/>
      <c r="L74" s="161"/>
    </row>
    <row r="75" spans="1:12" x14ac:dyDescent="0.25">
      <c r="A75" s="33" t="s">
        <v>92</v>
      </c>
      <c r="B75" s="10" t="s">
        <v>46</v>
      </c>
      <c r="C75" s="9" t="s">
        <v>42</v>
      </c>
      <c r="D75" s="89">
        <v>8046</v>
      </c>
      <c r="E75" s="13">
        <v>8.84</v>
      </c>
      <c r="G75" s="95">
        <v>71126.64</v>
      </c>
      <c r="H75" s="67"/>
      <c r="I75" s="146">
        <f t="shared" si="6"/>
        <v>6.7559042225693172E-2</v>
      </c>
      <c r="J75" s="67"/>
      <c r="K75" s="81"/>
      <c r="L75" s="161"/>
    </row>
    <row r="76" spans="1:12" x14ac:dyDescent="0.25">
      <c r="A76" s="33" t="s">
        <v>93</v>
      </c>
      <c r="B76" s="10" t="s">
        <v>48</v>
      </c>
      <c r="C76" s="9" t="s">
        <v>26</v>
      </c>
      <c r="D76" s="89">
        <v>357.6</v>
      </c>
      <c r="E76" s="13">
        <v>25.13</v>
      </c>
      <c r="G76" s="95">
        <v>8986.49</v>
      </c>
      <c r="H76" s="67"/>
      <c r="I76" s="146">
        <f t="shared" si="6"/>
        <v>8.5357421265895503E-3</v>
      </c>
      <c r="J76" s="67"/>
      <c r="K76" s="81"/>
      <c r="L76" s="161"/>
    </row>
    <row r="77" spans="1:12" x14ac:dyDescent="0.25">
      <c r="A77" s="33" t="s">
        <v>94</v>
      </c>
      <c r="B77" s="10" t="s">
        <v>50</v>
      </c>
      <c r="C77" s="9" t="s">
        <v>26</v>
      </c>
      <c r="D77" s="89">
        <v>8.94</v>
      </c>
      <c r="E77" s="13">
        <v>900.01</v>
      </c>
      <c r="G77" s="95">
        <v>8046.09</v>
      </c>
      <c r="H77" s="67"/>
      <c r="I77" s="146">
        <f t="shared" si="6"/>
        <v>7.6425110768866284E-3</v>
      </c>
      <c r="J77" s="67"/>
      <c r="K77" s="81"/>
      <c r="L77" s="161"/>
    </row>
    <row r="78" spans="1:12" x14ac:dyDescent="0.25">
      <c r="A78" s="33" t="s">
        <v>95</v>
      </c>
      <c r="B78" s="10" t="s">
        <v>52</v>
      </c>
      <c r="C78" s="9" t="s">
        <v>26</v>
      </c>
      <c r="D78" s="89">
        <v>8.94</v>
      </c>
      <c r="E78" s="13">
        <v>1002.12</v>
      </c>
      <c r="G78" s="95">
        <v>8958.9500000000007</v>
      </c>
      <c r="H78" s="67"/>
      <c r="I78" s="146">
        <f t="shared" si="6"/>
        <v>8.5095834886601395E-3</v>
      </c>
      <c r="J78" s="67"/>
      <c r="K78" s="81"/>
      <c r="L78" s="161"/>
    </row>
    <row r="79" spans="1:12" x14ac:dyDescent="0.25">
      <c r="A79" s="33" t="s">
        <v>96</v>
      </c>
      <c r="B79" s="10" t="s">
        <v>54</v>
      </c>
      <c r="C79" s="9" t="s">
        <v>26</v>
      </c>
      <c r="D79" s="89">
        <v>223.5</v>
      </c>
      <c r="E79" s="13">
        <v>1037.21</v>
      </c>
      <c r="G79" s="95">
        <v>231816.43</v>
      </c>
      <c r="H79" s="67"/>
      <c r="I79" s="146">
        <f t="shared" si="6"/>
        <v>0.2201888910115738</v>
      </c>
      <c r="J79" s="67"/>
      <c r="K79" s="81"/>
      <c r="L79" s="161"/>
    </row>
    <row r="80" spans="1:12" x14ac:dyDescent="0.25">
      <c r="A80" s="33" t="s">
        <v>97</v>
      </c>
      <c r="B80" s="10" t="s">
        <v>56</v>
      </c>
      <c r="C80" s="9" t="s">
        <v>57</v>
      </c>
      <c r="D80" s="89">
        <v>223.5</v>
      </c>
      <c r="E80" s="13">
        <v>45.3</v>
      </c>
      <c r="G80" s="95">
        <v>10124.549999999999</v>
      </c>
      <c r="H80" s="67"/>
      <c r="I80" s="146">
        <f t="shared" si="6"/>
        <v>9.6167188688533814E-3</v>
      </c>
      <c r="J80" s="67"/>
      <c r="K80" s="81"/>
      <c r="L80" s="161"/>
    </row>
    <row r="81" spans="1:12" x14ac:dyDescent="0.25">
      <c r="A81" s="33" t="s">
        <v>98</v>
      </c>
      <c r="B81" s="10" t="s">
        <v>59</v>
      </c>
      <c r="C81" s="9" t="s">
        <v>20</v>
      </c>
      <c r="D81" s="89">
        <v>447</v>
      </c>
      <c r="E81" s="13">
        <v>106.17</v>
      </c>
      <c r="G81" s="95">
        <v>47457.99</v>
      </c>
      <c r="H81" s="67"/>
      <c r="I81" s="146">
        <f t="shared" si="6"/>
        <v>4.5077573611751152E-2</v>
      </c>
      <c r="J81" s="67"/>
      <c r="K81" s="81"/>
      <c r="L81" s="161"/>
    </row>
    <row r="82" spans="1:12" x14ac:dyDescent="0.25">
      <c r="A82" s="33" t="s">
        <v>99</v>
      </c>
      <c r="B82" s="10" t="s">
        <v>61</v>
      </c>
      <c r="C82" s="9" t="s">
        <v>26</v>
      </c>
      <c r="D82" s="89">
        <v>357.6</v>
      </c>
      <c r="E82" s="13">
        <v>56.85</v>
      </c>
      <c r="G82" s="95">
        <v>20329.560000000001</v>
      </c>
      <c r="H82" s="67"/>
      <c r="I82" s="146">
        <f t="shared" si="6"/>
        <v>1.9309861993618185E-2</v>
      </c>
      <c r="J82" s="67"/>
      <c r="K82" s="81"/>
      <c r="L82" s="161"/>
    </row>
    <row r="83" spans="1:12" x14ac:dyDescent="0.25">
      <c r="A83" s="33" t="s">
        <v>100</v>
      </c>
      <c r="B83" s="10" t="s">
        <v>63</v>
      </c>
      <c r="C83" s="9" t="s">
        <v>20</v>
      </c>
      <c r="D83" s="89">
        <v>357.6</v>
      </c>
      <c r="E83" s="13">
        <v>76.84</v>
      </c>
      <c r="G83" s="95">
        <v>27477.98</v>
      </c>
      <c r="H83" s="67"/>
      <c r="I83" s="146">
        <f t="shared" si="6"/>
        <v>2.609972875278169E-2</v>
      </c>
      <c r="J83" s="67"/>
      <c r="K83" s="81"/>
      <c r="L83" s="161"/>
    </row>
    <row r="84" spans="1:12" x14ac:dyDescent="0.25">
      <c r="A84" s="33" t="s">
        <v>101</v>
      </c>
      <c r="B84" s="10" t="s">
        <v>65</v>
      </c>
      <c r="C84" s="9" t="s">
        <v>42</v>
      </c>
      <c r="D84" s="89">
        <v>5587.5</v>
      </c>
      <c r="E84" s="13">
        <v>11.15</v>
      </c>
      <c r="G84" s="95">
        <v>62300.63</v>
      </c>
      <c r="H84" s="67"/>
      <c r="I84" s="146">
        <f t="shared" si="6"/>
        <v>5.917573068061821E-2</v>
      </c>
      <c r="J84" s="67"/>
      <c r="K84" s="81"/>
      <c r="L84" s="161"/>
    </row>
    <row r="85" spans="1:12" x14ac:dyDescent="0.25">
      <c r="A85" s="33" t="s">
        <v>102</v>
      </c>
      <c r="B85" s="10" t="s">
        <v>67</v>
      </c>
      <c r="C85" s="9" t="s">
        <v>26</v>
      </c>
      <c r="D85" s="89">
        <v>357.6</v>
      </c>
      <c r="E85" s="13">
        <v>734.02</v>
      </c>
      <c r="G85" s="95">
        <v>262485.55</v>
      </c>
      <c r="H85" s="67"/>
      <c r="I85" s="146">
        <f t="shared" si="6"/>
        <v>0.24931969731853346</v>
      </c>
      <c r="J85" s="67"/>
      <c r="K85" s="81"/>
      <c r="L85" s="161"/>
    </row>
    <row r="86" spans="1:12" x14ac:dyDescent="0.25">
      <c r="A86" s="32" t="s">
        <v>103</v>
      </c>
      <c r="B86" s="8" t="s">
        <v>69</v>
      </c>
      <c r="C86" s="9"/>
      <c r="D86" s="89"/>
      <c r="E86" s="13"/>
      <c r="G86" s="109"/>
      <c r="H86" s="143">
        <f>G87+G89</f>
        <v>10979.29</v>
      </c>
      <c r="I86" s="145">
        <f t="shared" si="5"/>
        <v>1.0428586486274774E-2</v>
      </c>
      <c r="J86" s="67"/>
      <c r="K86" s="81"/>
      <c r="L86" s="161"/>
    </row>
    <row r="87" spans="1:12" x14ac:dyDescent="0.25">
      <c r="A87" s="32" t="s">
        <v>104</v>
      </c>
      <c r="B87" s="8" t="s">
        <v>71</v>
      </c>
      <c r="C87" s="9"/>
      <c r="D87" s="89"/>
      <c r="E87" s="13"/>
      <c r="G87" s="109">
        <f>G88</f>
        <v>9439.9500000000007</v>
      </c>
      <c r="H87" s="67"/>
      <c r="I87" s="146">
        <f>G87/$K$63</f>
        <v>8.9664573028956848E-3</v>
      </c>
      <c r="J87" s="67"/>
      <c r="K87" s="81"/>
      <c r="L87" s="161"/>
    </row>
    <row r="88" spans="1:12" x14ac:dyDescent="0.25">
      <c r="A88" s="33" t="s">
        <v>105</v>
      </c>
      <c r="B88" s="10" t="s">
        <v>73</v>
      </c>
      <c r="C88" s="9" t="s">
        <v>57</v>
      </c>
      <c r="D88" s="89">
        <v>309</v>
      </c>
      <c r="E88" s="13">
        <v>30.55</v>
      </c>
      <c r="G88" s="95">
        <v>9439.9500000000007</v>
      </c>
      <c r="H88" s="67"/>
      <c r="I88" s="146">
        <f t="shared" ref="I88:I90" si="7">G88/$K$63</f>
        <v>8.9664573028956848E-3</v>
      </c>
      <c r="J88" s="67"/>
      <c r="K88" s="81"/>
      <c r="L88" s="161"/>
    </row>
    <row r="89" spans="1:12" x14ac:dyDescent="0.25">
      <c r="A89" s="32" t="s">
        <v>106</v>
      </c>
      <c r="B89" s="8" t="s">
        <v>75</v>
      </c>
      <c r="C89" s="9"/>
      <c r="D89" s="89"/>
      <c r="E89" s="13"/>
      <c r="G89" s="109">
        <f>G90</f>
        <v>1539.34</v>
      </c>
      <c r="H89" s="67"/>
      <c r="I89" s="146">
        <f t="shared" si="7"/>
        <v>1.4621291833790901E-3</v>
      </c>
      <c r="J89" s="67"/>
      <c r="K89" s="81"/>
      <c r="L89" s="161"/>
    </row>
    <row r="90" spans="1:12" ht="25.5" x14ac:dyDescent="0.25">
      <c r="A90" s="33" t="s">
        <v>107</v>
      </c>
      <c r="B90" s="10" t="s">
        <v>77</v>
      </c>
      <c r="C90" s="9" t="s">
        <v>26</v>
      </c>
      <c r="D90" s="89">
        <v>0.9</v>
      </c>
      <c r="E90" s="13">
        <v>1710.38</v>
      </c>
      <c r="G90" s="95">
        <v>1539.34</v>
      </c>
      <c r="H90" s="67"/>
      <c r="I90" s="146">
        <f t="shared" si="7"/>
        <v>1.4621291833790901E-3</v>
      </c>
      <c r="J90" s="67"/>
      <c r="K90" s="81"/>
      <c r="L90" s="161"/>
    </row>
    <row r="91" spans="1:12" x14ac:dyDescent="0.25">
      <c r="A91" s="33"/>
      <c r="B91" s="10"/>
      <c r="C91" s="9"/>
      <c r="D91" s="89"/>
      <c r="E91" s="13"/>
      <c r="G91" s="95"/>
      <c r="H91" s="67"/>
      <c r="I91" s="9"/>
      <c r="J91" s="67"/>
      <c r="K91" s="81"/>
      <c r="L91" s="216"/>
    </row>
    <row r="92" spans="1:12" x14ac:dyDescent="0.25">
      <c r="A92" s="32">
        <v>3</v>
      </c>
      <c r="B92" s="8" t="s">
        <v>424</v>
      </c>
      <c r="C92" s="9"/>
      <c r="D92" s="89"/>
      <c r="E92" s="13"/>
      <c r="G92" s="109"/>
      <c r="H92" s="67"/>
      <c r="I92" s="9"/>
      <c r="J92" s="67"/>
      <c r="K92" s="68">
        <f>SUM(H93:H117)</f>
        <v>473053.68999999994</v>
      </c>
      <c r="L92" s="169">
        <f>K92/$G$149</f>
        <v>9.0423384598165971E-2</v>
      </c>
    </row>
    <row r="93" spans="1:12" x14ac:dyDescent="0.25">
      <c r="A93" s="32" t="s">
        <v>109</v>
      </c>
      <c r="B93" s="8" t="s">
        <v>15</v>
      </c>
      <c r="C93" s="9"/>
      <c r="D93" s="89"/>
      <c r="E93" s="13"/>
      <c r="G93" s="109"/>
      <c r="H93" s="143">
        <f>G94</f>
        <v>5761.2899999999991</v>
      </c>
      <c r="I93" s="145">
        <f>H93/$K$92</f>
        <v>1.2178934699780061E-2</v>
      </c>
      <c r="J93" s="67"/>
      <c r="K93" s="81"/>
      <c r="L93" s="161"/>
    </row>
    <row r="94" spans="1:12" x14ac:dyDescent="0.25">
      <c r="A94" s="32" t="s">
        <v>110</v>
      </c>
      <c r="B94" s="8" t="s">
        <v>17</v>
      </c>
      <c r="C94" s="9"/>
      <c r="D94" s="89"/>
      <c r="E94" s="13"/>
      <c r="G94" s="109">
        <f>SUM(G95:G98)</f>
        <v>5761.2899999999991</v>
      </c>
      <c r="H94" s="67"/>
      <c r="I94" s="146">
        <f>G94/$K$92</f>
        <v>1.2178934699780061E-2</v>
      </c>
      <c r="J94" s="67"/>
      <c r="K94" s="81"/>
      <c r="L94" s="161"/>
    </row>
    <row r="95" spans="1:12" x14ac:dyDescent="0.25">
      <c r="A95" s="33" t="s">
        <v>111</v>
      </c>
      <c r="B95" s="10" t="s">
        <v>19</v>
      </c>
      <c r="C95" s="9" t="s">
        <v>20</v>
      </c>
      <c r="D95" s="89">
        <v>210</v>
      </c>
      <c r="E95" s="13">
        <v>4.38</v>
      </c>
      <c r="G95" s="95">
        <v>919.8</v>
      </c>
      <c r="H95" s="67"/>
      <c r="I95" s="146">
        <f t="shared" ref="I95:I98" si="8">G95/$K$92</f>
        <v>1.9443881729365646E-3</v>
      </c>
      <c r="J95" s="67"/>
      <c r="K95" s="81"/>
      <c r="L95" s="161"/>
    </row>
    <row r="96" spans="1:12" x14ac:dyDescent="0.25">
      <c r="A96" s="33" t="s">
        <v>112</v>
      </c>
      <c r="B96" s="10" t="s">
        <v>22</v>
      </c>
      <c r="C96" s="9" t="s">
        <v>23</v>
      </c>
      <c r="D96" s="89">
        <v>5.25</v>
      </c>
      <c r="E96" s="13">
        <v>217.25</v>
      </c>
      <c r="G96" s="95">
        <v>1140.56</v>
      </c>
      <c r="H96" s="67"/>
      <c r="I96" s="146">
        <f t="shared" si="8"/>
        <v>2.4110582458409745E-3</v>
      </c>
      <c r="J96" s="67"/>
      <c r="K96" s="81"/>
      <c r="L96" s="161"/>
    </row>
    <row r="97" spans="1:12" x14ac:dyDescent="0.25">
      <c r="A97" s="33" t="s">
        <v>113</v>
      </c>
      <c r="B97" s="10" t="s">
        <v>25</v>
      </c>
      <c r="C97" s="9" t="s">
        <v>26</v>
      </c>
      <c r="D97" s="89">
        <v>63</v>
      </c>
      <c r="E97" s="13">
        <v>17.54</v>
      </c>
      <c r="G97" s="95">
        <v>1105.02</v>
      </c>
      <c r="H97" s="67"/>
      <c r="I97" s="146">
        <f t="shared" si="8"/>
        <v>2.3359293529662565E-3</v>
      </c>
      <c r="J97" s="67"/>
      <c r="K97" s="81"/>
      <c r="L97" s="161"/>
    </row>
    <row r="98" spans="1:12" x14ac:dyDescent="0.25">
      <c r="A98" s="33" t="s">
        <v>114</v>
      </c>
      <c r="B98" s="10" t="s">
        <v>28</v>
      </c>
      <c r="C98" s="9" t="s">
        <v>29</v>
      </c>
      <c r="D98" s="89">
        <v>1266.3</v>
      </c>
      <c r="E98" s="13">
        <v>2.0499999999999998</v>
      </c>
      <c r="G98" s="95">
        <v>2595.91</v>
      </c>
      <c r="H98" s="67"/>
      <c r="I98" s="146">
        <f t="shared" si="8"/>
        <v>5.4875589280362659E-3</v>
      </c>
      <c r="J98" s="67"/>
      <c r="K98" s="81"/>
      <c r="L98" s="161"/>
    </row>
    <row r="99" spans="1:12" x14ac:dyDescent="0.25">
      <c r="A99" s="32" t="s">
        <v>115</v>
      </c>
      <c r="B99" s="8" t="s">
        <v>31</v>
      </c>
      <c r="C99" s="9"/>
      <c r="D99" s="89"/>
      <c r="E99" s="13"/>
      <c r="G99" s="109"/>
      <c r="H99" s="143">
        <f>G100</f>
        <v>465153.89999999997</v>
      </c>
      <c r="I99" s="145">
        <f>H99/$K$92</f>
        <v>0.98330043678551582</v>
      </c>
      <c r="J99" s="67"/>
      <c r="K99" s="81"/>
      <c r="L99" s="161"/>
    </row>
    <row r="100" spans="1:12" x14ac:dyDescent="0.25">
      <c r="A100" s="32" t="s">
        <v>116</v>
      </c>
      <c r="B100" s="8" t="s">
        <v>37</v>
      </c>
      <c r="C100" s="9"/>
      <c r="D100" s="89"/>
      <c r="E100" s="13"/>
      <c r="G100" s="109">
        <f>SUM(G101:G114)</f>
        <v>465153.89999999997</v>
      </c>
      <c r="H100" s="67"/>
      <c r="I100" s="146">
        <f>G100/$K$92</f>
        <v>0.98330043678551582</v>
      </c>
      <c r="J100" s="67"/>
      <c r="K100" s="81"/>
      <c r="L100" s="161"/>
    </row>
    <row r="101" spans="1:12" x14ac:dyDescent="0.25">
      <c r="A101" s="33" t="s">
        <v>117</v>
      </c>
      <c r="B101" s="10" t="s">
        <v>39</v>
      </c>
      <c r="C101" s="9" t="s">
        <v>26</v>
      </c>
      <c r="D101" s="89">
        <v>84</v>
      </c>
      <c r="E101" s="13">
        <v>641.26</v>
      </c>
      <c r="G101" s="95">
        <v>53865.84</v>
      </c>
      <c r="H101" s="67"/>
      <c r="I101" s="146">
        <f t="shared" ref="I101:I114" si="9">G101/$K$92</f>
        <v>0.11386834335865767</v>
      </c>
      <c r="J101" s="67"/>
      <c r="K101" s="81"/>
      <c r="L101" s="161"/>
    </row>
    <row r="102" spans="1:12" x14ac:dyDescent="0.25">
      <c r="A102" s="33" t="s">
        <v>425</v>
      </c>
      <c r="B102" s="10" t="s">
        <v>41</v>
      </c>
      <c r="C102" s="9" t="s">
        <v>42</v>
      </c>
      <c r="D102" s="89">
        <v>2100</v>
      </c>
      <c r="E102" s="13">
        <v>8.64</v>
      </c>
      <c r="G102" s="95">
        <v>18144</v>
      </c>
      <c r="H102" s="67"/>
      <c r="I102" s="146">
        <f t="shared" si="9"/>
        <v>3.8355054370255527E-2</v>
      </c>
      <c r="J102" s="67"/>
      <c r="K102" s="81"/>
      <c r="L102" s="161"/>
    </row>
    <row r="103" spans="1:12" x14ac:dyDescent="0.25">
      <c r="A103" s="33" t="s">
        <v>426</v>
      </c>
      <c r="B103" s="10" t="s">
        <v>44</v>
      </c>
      <c r="C103" s="9" t="s">
        <v>42</v>
      </c>
      <c r="D103" s="89">
        <v>3780</v>
      </c>
      <c r="E103" s="13">
        <v>9.66</v>
      </c>
      <c r="G103" s="95">
        <v>36514.800000000003</v>
      </c>
      <c r="H103" s="67"/>
      <c r="I103" s="146">
        <f t="shared" si="9"/>
        <v>7.7189546920139254E-2</v>
      </c>
      <c r="J103" s="67"/>
      <c r="K103" s="81"/>
      <c r="L103" s="161"/>
    </row>
    <row r="104" spans="1:12" x14ac:dyDescent="0.25">
      <c r="A104" s="33" t="s">
        <v>427</v>
      </c>
      <c r="B104" s="10" t="s">
        <v>46</v>
      </c>
      <c r="C104" s="9" t="s">
        <v>42</v>
      </c>
      <c r="D104" s="89">
        <v>3780</v>
      </c>
      <c r="E104" s="13">
        <v>8.84</v>
      </c>
      <c r="G104" s="95">
        <v>33415.199999999997</v>
      </c>
      <c r="H104" s="67"/>
      <c r="I104" s="146">
        <f t="shared" si="9"/>
        <v>7.0637225131887249E-2</v>
      </c>
      <c r="J104" s="67"/>
      <c r="K104" s="81"/>
      <c r="L104" s="161"/>
    </row>
    <row r="105" spans="1:12" x14ac:dyDescent="0.25">
      <c r="A105" s="33" t="s">
        <v>428</v>
      </c>
      <c r="B105" s="10" t="s">
        <v>48</v>
      </c>
      <c r="C105" s="9" t="s">
        <v>26</v>
      </c>
      <c r="D105" s="89">
        <v>168</v>
      </c>
      <c r="E105" s="13">
        <v>25.13</v>
      </c>
      <c r="G105" s="95">
        <v>4221.84</v>
      </c>
      <c r="H105" s="67"/>
      <c r="I105" s="146">
        <f t="shared" si="9"/>
        <v>8.9246529289307534E-3</v>
      </c>
      <c r="J105" s="67"/>
      <c r="K105" s="81"/>
      <c r="L105" s="161"/>
    </row>
    <row r="106" spans="1:12" x14ac:dyDescent="0.25">
      <c r="A106" s="33" t="s">
        <v>429</v>
      </c>
      <c r="B106" s="10" t="s">
        <v>50</v>
      </c>
      <c r="C106" s="9" t="s">
        <v>26</v>
      </c>
      <c r="D106" s="89">
        <v>4.2</v>
      </c>
      <c r="E106" s="13">
        <v>900.01</v>
      </c>
      <c r="G106" s="95">
        <v>3780.04</v>
      </c>
      <c r="H106" s="67"/>
      <c r="I106" s="146">
        <f t="shared" si="9"/>
        <v>7.9907208841347391E-3</v>
      </c>
      <c r="J106" s="67"/>
      <c r="K106" s="81"/>
      <c r="L106" s="161"/>
    </row>
    <row r="107" spans="1:12" x14ac:dyDescent="0.25">
      <c r="A107" s="33" t="s">
        <v>430</v>
      </c>
      <c r="B107" s="10" t="s">
        <v>52</v>
      </c>
      <c r="C107" s="9" t="s">
        <v>26</v>
      </c>
      <c r="D107" s="89">
        <v>4.2</v>
      </c>
      <c r="E107" s="13">
        <v>1002.12</v>
      </c>
      <c r="G107" s="95">
        <v>4208.8999999999996</v>
      </c>
      <c r="H107" s="67"/>
      <c r="I107" s="146">
        <f t="shared" si="9"/>
        <v>8.8972987400225117E-3</v>
      </c>
      <c r="J107" s="67"/>
      <c r="K107" s="81"/>
      <c r="L107" s="161"/>
    </row>
    <row r="108" spans="1:12" x14ac:dyDescent="0.25">
      <c r="A108" s="33" t="s">
        <v>431</v>
      </c>
      <c r="B108" s="10" t="s">
        <v>54</v>
      </c>
      <c r="C108" s="9" t="s">
        <v>26</v>
      </c>
      <c r="D108" s="89">
        <v>105</v>
      </c>
      <c r="E108" s="13">
        <v>1037.21</v>
      </c>
      <c r="G108" s="95">
        <v>108907.05</v>
      </c>
      <c r="H108" s="67"/>
      <c r="I108" s="146">
        <f t="shared" si="9"/>
        <v>0.23022133069081444</v>
      </c>
      <c r="J108" s="67"/>
      <c r="K108" s="81"/>
      <c r="L108" s="161"/>
    </row>
    <row r="109" spans="1:12" x14ac:dyDescent="0.25">
      <c r="A109" s="33" t="s">
        <v>432</v>
      </c>
      <c r="B109" s="10" t="s">
        <v>56</v>
      </c>
      <c r="C109" s="9" t="s">
        <v>57</v>
      </c>
      <c r="D109" s="89">
        <v>105</v>
      </c>
      <c r="E109" s="13">
        <v>45.3</v>
      </c>
      <c r="G109" s="95">
        <v>4756.5</v>
      </c>
      <c r="H109" s="67"/>
      <c r="I109" s="146">
        <f t="shared" si="9"/>
        <v>1.0054884044980181E-2</v>
      </c>
      <c r="J109" s="67"/>
      <c r="K109" s="81"/>
      <c r="L109" s="161"/>
    </row>
    <row r="110" spans="1:12" x14ac:dyDescent="0.25">
      <c r="A110" s="33" t="s">
        <v>433</v>
      </c>
      <c r="B110" s="10" t="s">
        <v>59</v>
      </c>
      <c r="C110" s="9" t="s">
        <v>20</v>
      </c>
      <c r="D110" s="89">
        <v>210</v>
      </c>
      <c r="E110" s="13">
        <v>106.17</v>
      </c>
      <c r="G110" s="95">
        <v>22295.7</v>
      </c>
      <c r="H110" s="67"/>
      <c r="I110" s="146">
        <f t="shared" si="9"/>
        <v>4.7131436602893859E-2</v>
      </c>
      <c r="J110" s="67"/>
      <c r="K110" s="81"/>
      <c r="L110" s="161"/>
    </row>
    <row r="111" spans="1:12" x14ac:dyDescent="0.25">
      <c r="A111" s="33" t="s">
        <v>434</v>
      </c>
      <c r="B111" s="10" t="s">
        <v>61</v>
      </c>
      <c r="C111" s="9" t="s">
        <v>26</v>
      </c>
      <c r="D111" s="89">
        <v>168</v>
      </c>
      <c r="E111" s="13">
        <v>56.85</v>
      </c>
      <c r="G111" s="95">
        <v>9550.7999999999993</v>
      </c>
      <c r="H111" s="67"/>
      <c r="I111" s="146">
        <f t="shared" si="9"/>
        <v>2.0189674453231728E-2</v>
      </c>
      <c r="J111" s="67"/>
      <c r="K111" s="81"/>
      <c r="L111" s="161"/>
    </row>
    <row r="112" spans="1:12" x14ac:dyDescent="0.25">
      <c r="A112" s="33" t="s">
        <v>435</v>
      </c>
      <c r="B112" s="10" t="s">
        <v>63</v>
      </c>
      <c r="C112" s="9" t="s">
        <v>20</v>
      </c>
      <c r="D112" s="89">
        <v>168</v>
      </c>
      <c r="E112" s="13">
        <v>76.84</v>
      </c>
      <c r="G112" s="95">
        <v>12909.12</v>
      </c>
      <c r="H112" s="67"/>
      <c r="I112" s="146">
        <f t="shared" si="9"/>
        <v>2.7288910905652174E-2</v>
      </c>
      <c r="J112" s="67"/>
      <c r="K112" s="81"/>
      <c r="L112" s="161"/>
    </row>
    <row r="113" spans="1:12" x14ac:dyDescent="0.25">
      <c r="A113" s="33" t="s">
        <v>436</v>
      </c>
      <c r="B113" s="10" t="s">
        <v>65</v>
      </c>
      <c r="C113" s="9" t="s">
        <v>42</v>
      </c>
      <c r="D113" s="89">
        <v>2625</v>
      </c>
      <c r="E113" s="13">
        <v>11.15</v>
      </c>
      <c r="G113" s="95">
        <v>29268.75</v>
      </c>
      <c r="H113" s="67"/>
      <c r="I113" s="146">
        <f t="shared" si="9"/>
        <v>6.1871941005258842E-2</v>
      </c>
      <c r="J113" s="67"/>
      <c r="K113" s="81"/>
      <c r="L113" s="161"/>
    </row>
    <row r="114" spans="1:12" x14ac:dyDescent="0.25">
      <c r="A114" s="33" t="s">
        <v>437</v>
      </c>
      <c r="B114" s="10" t="s">
        <v>67</v>
      </c>
      <c r="C114" s="9" t="s">
        <v>26</v>
      </c>
      <c r="D114" s="89">
        <v>168</v>
      </c>
      <c r="E114" s="13">
        <v>734.02</v>
      </c>
      <c r="G114" s="95">
        <v>123315.36</v>
      </c>
      <c r="H114" s="67"/>
      <c r="I114" s="146">
        <f t="shared" si="9"/>
        <v>0.26067941674865702</v>
      </c>
      <c r="J114" s="67"/>
      <c r="K114" s="81"/>
      <c r="L114" s="161"/>
    </row>
    <row r="115" spans="1:12" x14ac:dyDescent="0.25">
      <c r="A115" s="32" t="s">
        <v>126</v>
      </c>
      <c r="B115" s="8" t="s">
        <v>69</v>
      </c>
      <c r="C115" s="9"/>
      <c r="D115" s="89"/>
      <c r="E115" s="13"/>
      <c r="G115" s="109"/>
      <c r="H115" s="143">
        <f>G116</f>
        <v>2138.5</v>
      </c>
      <c r="I115" s="145">
        <f>H115/$K$92</f>
        <v>4.520628514704114E-3</v>
      </c>
      <c r="J115" s="67"/>
      <c r="K115" s="81"/>
      <c r="L115" s="161"/>
    </row>
    <row r="116" spans="1:12" x14ac:dyDescent="0.25">
      <c r="A116" s="32" t="s">
        <v>127</v>
      </c>
      <c r="B116" s="8" t="s">
        <v>71</v>
      </c>
      <c r="C116" s="9"/>
      <c r="D116" s="89"/>
      <c r="E116" s="13"/>
      <c r="G116" s="109">
        <f>G117</f>
        <v>2138.5</v>
      </c>
      <c r="H116" s="67"/>
      <c r="I116" s="146">
        <f>G116/$K$92</f>
        <v>4.520628514704114E-3</v>
      </c>
      <c r="J116" s="67"/>
      <c r="K116" s="81"/>
      <c r="L116" s="161"/>
    </row>
    <row r="117" spans="1:12" ht="13.5" thickBot="1" x14ac:dyDescent="0.3">
      <c r="A117" s="34" t="s">
        <v>128</v>
      </c>
      <c r="B117" s="35" t="s">
        <v>73</v>
      </c>
      <c r="C117" s="36" t="s">
        <v>57</v>
      </c>
      <c r="D117" s="90">
        <v>70</v>
      </c>
      <c r="E117" s="37">
        <v>30.55</v>
      </c>
      <c r="F117" s="157"/>
      <c r="G117" s="96">
        <v>2138.5</v>
      </c>
      <c r="H117" s="77"/>
      <c r="I117" s="151">
        <f>G117/$K$92</f>
        <v>4.520628514704114E-3</v>
      </c>
      <c r="J117" s="77"/>
      <c r="K117" s="86"/>
      <c r="L117" s="162"/>
    </row>
    <row r="118" spans="1:12" ht="13.5" thickBot="1" x14ac:dyDescent="0.3">
      <c r="A118" s="41"/>
      <c r="D118" s="91"/>
      <c r="E118" s="44"/>
      <c r="G118" s="97"/>
      <c r="K118" s="71"/>
    </row>
    <row r="119" spans="1:12" x14ac:dyDescent="0.25">
      <c r="A119" s="25">
        <v>4</v>
      </c>
      <c r="B119" s="26" t="s">
        <v>206</v>
      </c>
      <c r="C119" s="27"/>
      <c r="D119" s="88"/>
      <c r="E119" s="29"/>
      <c r="F119" s="156"/>
      <c r="G119" s="105"/>
      <c r="H119" s="72"/>
      <c r="I119" s="27"/>
      <c r="J119" s="72"/>
      <c r="K119" s="73">
        <f>SUM(H119:H147)</f>
        <v>1502601.97</v>
      </c>
      <c r="L119" s="83">
        <v>1</v>
      </c>
    </row>
    <row r="120" spans="1:12" x14ac:dyDescent="0.25">
      <c r="A120" s="32" t="s">
        <v>132</v>
      </c>
      <c r="B120" s="8" t="s">
        <v>15</v>
      </c>
      <c r="C120" s="9"/>
      <c r="D120" s="89"/>
      <c r="E120" s="13"/>
      <c r="G120" s="109"/>
      <c r="H120" s="143">
        <f>G121+G126</f>
        <v>105476.46</v>
      </c>
      <c r="I120" s="145">
        <f>H120/$K$119</f>
        <v>7.0195874959487786E-2</v>
      </c>
      <c r="J120" s="67"/>
      <c r="K120" s="81"/>
      <c r="L120" s="161"/>
    </row>
    <row r="121" spans="1:12" x14ac:dyDescent="0.25">
      <c r="A121" s="32" t="s">
        <v>133</v>
      </c>
      <c r="B121" s="8" t="s">
        <v>17</v>
      </c>
      <c r="C121" s="9"/>
      <c r="D121" s="89"/>
      <c r="E121" s="13"/>
      <c r="G121" s="109">
        <f>SUM(G122:G125)</f>
        <v>63703.48</v>
      </c>
      <c r="H121" s="67"/>
      <c r="I121" s="146">
        <f>G121/$K$119</f>
        <v>4.2395445548364351E-2</v>
      </c>
      <c r="J121" s="67"/>
      <c r="K121" s="81"/>
      <c r="L121" s="161"/>
    </row>
    <row r="122" spans="1:12" x14ac:dyDescent="0.25">
      <c r="A122" s="33" t="s">
        <v>134</v>
      </c>
      <c r="B122" s="10" t="s">
        <v>19</v>
      </c>
      <c r="C122" s="9" t="s">
        <v>20</v>
      </c>
      <c r="D122" s="89">
        <v>2322</v>
      </c>
      <c r="E122" s="13">
        <v>4.38</v>
      </c>
      <c r="G122" s="95">
        <v>10170.36</v>
      </c>
      <c r="H122" s="67"/>
      <c r="I122" s="146">
        <f t="shared" ref="I122:I132" si="10">G122/$K$119</f>
        <v>6.7684990456920542E-3</v>
      </c>
      <c r="J122" s="67"/>
      <c r="K122" s="81"/>
      <c r="L122" s="161"/>
    </row>
    <row r="123" spans="1:12" x14ac:dyDescent="0.25">
      <c r="A123" s="33" t="s">
        <v>135</v>
      </c>
      <c r="B123" s="10" t="s">
        <v>22</v>
      </c>
      <c r="C123" s="9" t="s">
        <v>23</v>
      </c>
      <c r="D123" s="89">
        <v>58.05</v>
      </c>
      <c r="E123" s="13">
        <v>217.25</v>
      </c>
      <c r="G123" s="95">
        <v>12611.36</v>
      </c>
      <c r="H123" s="67"/>
      <c r="I123" s="146">
        <f t="shared" si="10"/>
        <v>8.3930144188483925E-3</v>
      </c>
      <c r="J123" s="67"/>
      <c r="K123" s="81"/>
      <c r="L123" s="161"/>
    </row>
    <row r="124" spans="1:12" x14ac:dyDescent="0.25">
      <c r="A124" s="33" t="s">
        <v>136</v>
      </c>
      <c r="B124" s="10" t="s">
        <v>25</v>
      </c>
      <c r="C124" s="9" t="s">
        <v>26</v>
      </c>
      <c r="D124" s="89">
        <v>696.6</v>
      </c>
      <c r="E124" s="13">
        <v>17.54</v>
      </c>
      <c r="G124" s="95">
        <v>12218.36</v>
      </c>
      <c r="H124" s="67"/>
      <c r="I124" s="146">
        <f t="shared" si="10"/>
        <v>8.1314681092824609E-3</v>
      </c>
      <c r="J124" s="67"/>
      <c r="K124" s="81"/>
      <c r="L124" s="161"/>
    </row>
    <row r="125" spans="1:12" x14ac:dyDescent="0.25">
      <c r="A125" s="33" t="s">
        <v>137</v>
      </c>
      <c r="B125" s="10" t="s">
        <v>28</v>
      </c>
      <c r="C125" s="9" t="s">
        <v>29</v>
      </c>
      <c r="D125" s="89">
        <v>14001.66</v>
      </c>
      <c r="E125" s="13">
        <v>2.0499999999999998</v>
      </c>
      <c r="G125" s="95">
        <v>28703.4</v>
      </c>
      <c r="H125" s="67"/>
      <c r="I125" s="146">
        <f t="shared" si="10"/>
        <v>1.9102463974541444E-2</v>
      </c>
      <c r="J125" s="67"/>
      <c r="K125" s="81"/>
      <c r="L125" s="161"/>
    </row>
    <row r="126" spans="1:12" x14ac:dyDescent="0.25">
      <c r="A126" s="32" t="s">
        <v>438</v>
      </c>
      <c r="B126" s="8" t="s">
        <v>279</v>
      </c>
      <c r="C126" s="9"/>
      <c r="D126" s="89"/>
      <c r="E126" s="13"/>
      <c r="G126" s="109">
        <f>SUM(G127:G132)</f>
        <v>41772.980000000003</v>
      </c>
      <c r="H126" s="67"/>
      <c r="I126" s="146">
        <f t="shared" si="10"/>
        <v>2.7800429411123428E-2</v>
      </c>
      <c r="J126" s="67"/>
      <c r="K126" s="81"/>
      <c r="L126" s="161"/>
    </row>
    <row r="127" spans="1:12" x14ac:dyDescent="0.25">
      <c r="A127" s="33" t="s">
        <v>439</v>
      </c>
      <c r="B127" s="10" t="s">
        <v>281</v>
      </c>
      <c r="C127" s="9" t="s">
        <v>26</v>
      </c>
      <c r="D127" s="89">
        <v>259.2</v>
      </c>
      <c r="E127" s="13">
        <v>54.08</v>
      </c>
      <c r="G127" s="95">
        <v>14017.54</v>
      </c>
      <c r="H127" s="67"/>
      <c r="I127" s="146">
        <f t="shared" si="10"/>
        <v>9.3288444177934901E-3</v>
      </c>
      <c r="J127" s="67"/>
      <c r="K127" s="81"/>
      <c r="L127" s="161"/>
    </row>
    <row r="128" spans="1:12" x14ac:dyDescent="0.25">
      <c r="A128" s="33" t="s">
        <v>440</v>
      </c>
      <c r="B128" s="10" t="s">
        <v>283</v>
      </c>
      <c r="C128" s="9" t="s">
        <v>26</v>
      </c>
      <c r="D128" s="89">
        <v>64.8</v>
      </c>
      <c r="E128" s="13">
        <v>78.37</v>
      </c>
      <c r="G128" s="95">
        <v>5078.38</v>
      </c>
      <c r="H128" s="67"/>
      <c r="I128" s="146">
        <f t="shared" si="10"/>
        <v>3.3797240396270744E-3</v>
      </c>
      <c r="J128" s="67"/>
      <c r="K128" s="81"/>
      <c r="L128" s="161"/>
    </row>
    <row r="129" spans="1:12" x14ac:dyDescent="0.25">
      <c r="A129" s="33" t="s">
        <v>441</v>
      </c>
      <c r="B129" s="10" t="s">
        <v>285</v>
      </c>
      <c r="C129" s="9" t="s">
        <v>26</v>
      </c>
      <c r="D129" s="89">
        <v>22.68</v>
      </c>
      <c r="E129" s="13">
        <v>168.28</v>
      </c>
      <c r="G129" s="95">
        <v>3816.59</v>
      </c>
      <c r="H129" s="67"/>
      <c r="I129" s="146">
        <f t="shared" si="10"/>
        <v>2.5399873527385303E-3</v>
      </c>
      <c r="J129" s="67"/>
      <c r="K129" s="81"/>
      <c r="L129" s="161"/>
    </row>
    <row r="130" spans="1:12" x14ac:dyDescent="0.25">
      <c r="A130" s="33" t="s">
        <v>442</v>
      </c>
      <c r="B130" s="10" t="s">
        <v>287</v>
      </c>
      <c r="C130" s="9" t="s">
        <v>20</v>
      </c>
      <c r="D130" s="89">
        <v>345.6</v>
      </c>
      <c r="E130" s="13">
        <v>6.36</v>
      </c>
      <c r="G130" s="95">
        <v>2198.02</v>
      </c>
      <c r="H130" s="67"/>
      <c r="I130" s="146">
        <f t="shared" si="10"/>
        <v>1.4628092095473561E-3</v>
      </c>
      <c r="J130" s="67"/>
      <c r="K130" s="81"/>
      <c r="L130" s="161"/>
    </row>
    <row r="131" spans="1:12" x14ac:dyDescent="0.25">
      <c r="A131" s="33" t="s">
        <v>443</v>
      </c>
      <c r="B131" s="10" t="s">
        <v>25</v>
      </c>
      <c r="C131" s="9" t="s">
        <v>26</v>
      </c>
      <c r="D131" s="89">
        <v>345.6</v>
      </c>
      <c r="E131" s="13">
        <v>17.54</v>
      </c>
      <c r="G131" s="95">
        <v>6061.82</v>
      </c>
      <c r="H131" s="67"/>
      <c r="I131" s="146">
        <f t="shared" si="10"/>
        <v>4.0342153950457017E-3</v>
      </c>
      <c r="J131" s="67"/>
      <c r="K131" s="81"/>
      <c r="L131" s="161"/>
    </row>
    <row r="132" spans="1:12" x14ac:dyDescent="0.25">
      <c r="A132" s="33" t="s">
        <v>444</v>
      </c>
      <c r="B132" s="10" t="s">
        <v>28</v>
      </c>
      <c r="C132" s="9" t="s">
        <v>29</v>
      </c>
      <c r="D132" s="89">
        <v>5171.04</v>
      </c>
      <c r="E132" s="13">
        <v>2.0499999999999998</v>
      </c>
      <c r="G132" s="95">
        <v>10600.63</v>
      </c>
      <c r="H132" s="67"/>
      <c r="I132" s="146">
        <f t="shared" si="10"/>
        <v>7.0548489963712744E-3</v>
      </c>
      <c r="J132" s="67"/>
      <c r="K132" s="81"/>
      <c r="L132" s="161"/>
    </row>
    <row r="133" spans="1:12" x14ac:dyDescent="0.25">
      <c r="A133" s="32" t="s">
        <v>185</v>
      </c>
      <c r="B133" s="8" t="s">
        <v>208</v>
      </c>
      <c r="C133" s="9"/>
      <c r="D133" s="89"/>
      <c r="E133" s="13"/>
      <c r="G133" s="109"/>
      <c r="H133" s="143">
        <f>G134+G136+G138</f>
        <v>1018718.16</v>
      </c>
      <c r="I133" s="145">
        <f>H133/$K$119</f>
        <v>0.67796940263561623</v>
      </c>
      <c r="J133" s="67"/>
      <c r="K133" s="81"/>
      <c r="L133" s="161"/>
    </row>
    <row r="134" spans="1:12" x14ac:dyDescent="0.25">
      <c r="A134" s="32" t="s">
        <v>186</v>
      </c>
      <c r="B134" s="8" t="s">
        <v>71</v>
      </c>
      <c r="C134" s="9"/>
      <c r="D134" s="89"/>
      <c r="E134" s="13"/>
      <c r="G134" s="109">
        <f>G135</f>
        <v>13136.5</v>
      </c>
      <c r="H134" s="67"/>
      <c r="I134" s="146">
        <f>G134/$K$119</f>
        <v>8.7425015155543819E-3</v>
      </c>
      <c r="J134" s="67"/>
      <c r="K134" s="81"/>
      <c r="L134" s="161"/>
    </row>
    <row r="135" spans="1:12" x14ac:dyDescent="0.25">
      <c r="A135" s="33" t="s">
        <v>187</v>
      </c>
      <c r="B135" s="10" t="s">
        <v>73</v>
      </c>
      <c r="C135" s="9" t="s">
        <v>57</v>
      </c>
      <c r="D135" s="89">
        <v>430</v>
      </c>
      <c r="E135" s="13">
        <v>30.55</v>
      </c>
      <c r="G135" s="95">
        <v>13136.5</v>
      </c>
      <c r="H135" s="67"/>
      <c r="I135" s="146">
        <f t="shared" ref="I135:I140" si="11">G135/$K$119</f>
        <v>8.7425015155543819E-3</v>
      </c>
      <c r="J135" s="67"/>
      <c r="K135" s="81"/>
      <c r="L135" s="161"/>
    </row>
    <row r="136" spans="1:12" x14ac:dyDescent="0.25">
      <c r="A136" s="32" t="s">
        <v>188</v>
      </c>
      <c r="B136" s="8" t="s">
        <v>75</v>
      </c>
      <c r="C136" s="9"/>
      <c r="D136" s="89"/>
      <c r="E136" s="13"/>
      <c r="G136" s="109">
        <f>G137</f>
        <v>735463.4</v>
      </c>
      <c r="H136" s="67"/>
      <c r="I136" s="146">
        <f t="shared" si="11"/>
        <v>0.48945989336084794</v>
      </c>
      <c r="J136" s="67"/>
      <c r="K136" s="81"/>
      <c r="L136" s="161"/>
    </row>
    <row r="137" spans="1:12" ht="25.5" x14ac:dyDescent="0.25">
      <c r="A137" s="33" t="s">
        <v>189</v>
      </c>
      <c r="B137" s="10" t="s">
        <v>77</v>
      </c>
      <c r="C137" s="9" t="s">
        <v>26</v>
      </c>
      <c r="D137" s="89">
        <v>430</v>
      </c>
      <c r="E137" s="13">
        <v>1710.38</v>
      </c>
      <c r="G137" s="95">
        <v>735463.4</v>
      </c>
      <c r="H137" s="67"/>
      <c r="I137" s="146">
        <f t="shared" si="11"/>
        <v>0.48945989336084794</v>
      </c>
      <c r="J137" s="67"/>
      <c r="K137" s="81"/>
      <c r="L137" s="161"/>
    </row>
    <row r="138" spans="1:12" x14ac:dyDescent="0.25">
      <c r="A138" s="32" t="s">
        <v>445</v>
      </c>
      <c r="B138" s="8" t="s">
        <v>446</v>
      </c>
      <c r="C138" s="9"/>
      <c r="D138" s="89"/>
      <c r="E138" s="13"/>
      <c r="G138" s="109">
        <f>SUM(G139:G140)</f>
        <v>270118.26</v>
      </c>
      <c r="H138" s="67"/>
      <c r="I138" s="146">
        <f t="shared" si="11"/>
        <v>0.17976700775921384</v>
      </c>
      <c r="J138" s="67"/>
      <c r="K138" s="81"/>
      <c r="L138" s="161"/>
    </row>
    <row r="139" spans="1:12" x14ac:dyDescent="0.25">
      <c r="A139" s="33" t="s">
        <v>447</v>
      </c>
      <c r="B139" s="10" t="s">
        <v>448</v>
      </c>
      <c r="C139" s="9" t="s">
        <v>57</v>
      </c>
      <c r="D139" s="89">
        <v>1276</v>
      </c>
      <c r="E139" s="13">
        <v>206.46</v>
      </c>
      <c r="G139" s="95">
        <v>263442.96000000002</v>
      </c>
      <c r="H139" s="67"/>
      <c r="I139" s="146">
        <f t="shared" si="11"/>
        <v>0.17532451391635007</v>
      </c>
      <c r="J139" s="67"/>
      <c r="K139" s="81"/>
      <c r="L139" s="161"/>
    </row>
    <row r="140" spans="1:12" x14ac:dyDescent="0.25">
      <c r="A140" s="33" t="s">
        <v>449</v>
      </c>
      <c r="B140" s="10" t="s">
        <v>450</v>
      </c>
      <c r="C140" s="9" t="s">
        <v>23</v>
      </c>
      <c r="D140" s="89">
        <v>42.49</v>
      </c>
      <c r="E140" s="13">
        <v>157.1</v>
      </c>
      <c r="G140" s="95">
        <v>6675.3</v>
      </c>
      <c r="H140" s="69"/>
      <c r="I140" s="146">
        <f t="shared" si="11"/>
        <v>4.4424938428637897E-3</v>
      </c>
      <c r="J140" s="67"/>
      <c r="K140" s="81"/>
      <c r="L140" s="161"/>
    </row>
    <row r="141" spans="1:12" x14ac:dyDescent="0.25">
      <c r="A141" s="32" t="s">
        <v>451</v>
      </c>
      <c r="B141" s="8" t="s">
        <v>215</v>
      </c>
      <c r="C141" s="9"/>
      <c r="D141" s="89"/>
      <c r="E141" s="13"/>
      <c r="G141" s="109"/>
      <c r="H141" s="143">
        <f>G142</f>
        <v>333735.71000000002</v>
      </c>
      <c r="I141" s="145">
        <f>H141/$K$119</f>
        <v>0.22210519928973607</v>
      </c>
      <c r="J141" s="67"/>
      <c r="K141" s="81"/>
      <c r="L141" s="161"/>
    </row>
    <row r="142" spans="1:12" x14ac:dyDescent="0.25">
      <c r="A142" s="32" t="s">
        <v>452</v>
      </c>
      <c r="B142" s="8" t="s">
        <v>248</v>
      </c>
      <c r="C142" s="9"/>
      <c r="D142" s="89"/>
      <c r="E142" s="13"/>
      <c r="G142" s="109">
        <f>SUM(G143:G144)</f>
        <v>333735.71000000002</v>
      </c>
      <c r="H142" s="67"/>
      <c r="I142" s="146">
        <f>G142/$K$119</f>
        <v>0.22210519928973607</v>
      </c>
      <c r="J142" s="67"/>
      <c r="K142" s="81"/>
      <c r="L142" s="161"/>
    </row>
    <row r="143" spans="1:12" ht="25.5" x14ac:dyDescent="0.25">
      <c r="A143" s="33" t="s">
        <v>453</v>
      </c>
      <c r="B143" s="10" t="s">
        <v>250</v>
      </c>
      <c r="C143" s="9" t="s">
        <v>26</v>
      </c>
      <c r="D143" s="89">
        <v>77</v>
      </c>
      <c r="E143" s="13">
        <v>3911.67</v>
      </c>
      <c r="G143" s="95">
        <v>301198.59000000003</v>
      </c>
      <c r="H143" s="67"/>
      <c r="I143" s="146">
        <f t="shared" ref="I143:I144" si="12">G143/$K$119</f>
        <v>0.20045134773781778</v>
      </c>
      <c r="J143" s="67"/>
      <c r="K143" s="81"/>
      <c r="L143" s="161"/>
    </row>
    <row r="144" spans="1:12" x14ac:dyDescent="0.25">
      <c r="A144" s="33" t="s">
        <v>454</v>
      </c>
      <c r="B144" s="10" t="s">
        <v>252</v>
      </c>
      <c r="C144" s="9" t="s">
        <v>57</v>
      </c>
      <c r="D144" s="89">
        <v>308</v>
      </c>
      <c r="E144" s="13">
        <v>105.64</v>
      </c>
      <c r="G144" s="95">
        <v>32537.119999999999</v>
      </c>
      <c r="H144" s="67"/>
      <c r="I144" s="146">
        <f t="shared" si="12"/>
        <v>2.1653851551918304E-2</v>
      </c>
      <c r="J144" s="67"/>
      <c r="K144" s="81"/>
      <c r="L144" s="161"/>
    </row>
    <row r="145" spans="1:12" x14ac:dyDescent="0.25">
      <c r="A145" s="32" t="s">
        <v>459</v>
      </c>
      <c r="B145" s="8" t="s">
        <v>254</v>
      </c>
      <c r="C145" s="9"/>
      <c r="D145" s="89"/>
      <c r="E145" s="13"/>
      <c r="G145" s="109"/>
      <c r="H145" s="143">
        <f>G146</f>
        <v>44671.64</v>
      </c>
      <c r="I145" s="145">
        <f>H145/$K$119</f>
        <v>2.9729523115160032E-2</v>
      </c>
      <c r="J145" s="67"/>
      <c r="K145" s="81"/>
      <c r="L145" s="161"/>
    </row>
    <row r="146" spans="1:12" x14ac:dyDescent="0.25">
      <c r="A146" s="32" t="s">
        <v>460</v>
      </c>
      <c r="B146" s="8" t="s">
        <v>256</v>
      </c>
      <c r="C146" s="9"/>
      <c r="D146" s="89"/>
      <c r="E146" s="13"/>
      <c r="G146" s="109">
        <f>G147</f>
        <v>44671.64</v>
      </c>
      <c r="H146" s="67"/>
      <c r="I146" s="146">
        <f>G146/$K$119</f>
        <v>2.9729523115160032E-2</v>
      </c>
      <c r="J146" s="67"/>
      <c r="K146" s="81"/>
      <c r="L146" s="161"/>
    </row>
    <row r="147" spans="1:12" ht="13.5" thickBot="1" x14ac:dyDescent="0.3">
      <c r="A147" s="34" t="s">
        <v>461</v>
      </c>
      <c r="B147" s="35" t="s">
        <v>258</v>
      </c>
      <c r="C147" s="36" t="s">
        <v>57</v>
      </c>
      <c r="D147" s="90">
        <v>634</v>
      </c>
      <c r="E147" s="37">
        <v>70.459999999999994</v>
      </c>
      <c r="F147" s="157"/>
      <c r="G147" s="96">
        <v>44671.64</v>
      </c>
      <c r="H147" s="77"/>
      <c r="I147" s="151">
        <f>G147/$K$119</f>
        <v>2.9729523115160032E-2</v>
      </c>
      <c r="J147" s="77"/>
      <c r="K147" s="86"/>
      <c r="L147" s="162"/>
    </row>
    <row r="149" spans="1:12" s="7" customFormat="1" ht="15" x14ac:dyDescent="0.25">
      <c r="A149" s="11"/>
      <c r="B149" s="98" t="s">
        <v>271</v>
      </c>
      <c r="C149" s="9"/>
      <c r="D149" s="99"/>
      <c r="E149" s="95"/>
      <c r="G149" s="277">
        <f>K5+K63+K92</f>
        <v>5231541.51</v>
      </c>
      <c r="H149" s="277"/>
      <c r="I149" s="277"/>
      <c r="J149" s="277"/>
      <c r="K149" s="277"/>
      <c r="L149" s="163">
        <v>1</v>
      </c>
    </row>
    <row r="150" spans="1:12" s="7" customFormat="1" ht="15" x14ac:dyDescent="0.25">
      <c r="A150" s="18"/>
      <c r="B150" s="98" t="s">
        <v>272</v>
      </c>
      <c r="C150" s="18"/>
      <c r="D150" s="144"/>
      <c r="E150" s="132"/>
      <c r="F150" s="62"/>
      <c r="G150" s="277">
        <f>K119</f>
        <v>1502601.97</v>
      </c>
      <c r="H150" s="277"/>
      <c r="I150" s="277"/>
      <c r="J150" s="277"/>
      <c r="K150" s="277"/>
      <c r="L150" s="163">
        <v>1</v>
      </c>
    </row>
    <row r="151" spans="1:12" s="7" customFormat="1" ht="15" x14ac:dyDescent="0.25">
      <c r="A151" s="18"/>
      <c r="B151" s="98" t="s">
        <v>270</v>
      </c>
      <c r="C151" s="18"/>
      <c r="D151" s="144"/>
      <c r="E151" s="132"/>
      <c r="F151" s="62"/>
      <c r="G151" s="277">
        <f>G149+G150</f>
        <v>6734143.4799999995</v>
      </c>
      <c r="H151" s="277"/>
      <c r="I151" s="277"/>
      <c r="J151" s="277"/>
      <c r="K151" s="277"/>
      <c r="L151" s="126"/>
    </row>
  </sheetData>
  <mergeCells count="5">
    <mergeCell ref="G3:L3"/>
    <mergeCell ref="G4:H4"/>
    <mergeCell ref="G149:K149"/>
    <mergeCell ref="G150:K150"/>
    <mergeCell ref="G151:K151"/>
  </mergeCells>
  <pageMargins left="0.511811024" right="0.511811024" top="0.78740157499999996" bottom="0.78740157499999996" header="0.31496062000000002" footer="0.31496062000000002"/>
  <pageSetup paperSize="8" scale="79" fitToHeight="0" orientation="landscape" horizontalDpi="1200" verticalDpi="1200" r:id="rId1"/>
  <ignoredErrors>
    <ignoredError sqref="I57 I19 I115 I99 I70 I86 I133 I141 I145"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9B30-A26E-4497-B6BF-6B9E51D5EE03}">
  <sheetPr>
    <pageSetUpPr fitToPage="1"/>
  </sheetPr>
  <dimension ref="A1:O140"/>
  <sheetViews>
    <sheetView workbookViewId="0">
      <pane ySplit="4" topLeftCell="A98" activePane="bottomLeft" state="frozen"/>
      <selection pane="bottomLeft" activeCell="B149" sqref="B149"/>
    </sheetView>
  </sheetViews>
  <sheetFormatPr defaultColWidth="9.140625" defaultRowHeight="12.75" x14ac:dyDescent="0.2"/>
  <cols>
    <col min="1" max="1" width="18.7109375" style="6" customWidth="1"/>
    <col min="2" max="2" width="120.28515625" style="2" customWidth="1"/>
    <col min="3" max="3" width="6.7109375" style="3" customWidth="1"/>
    <col min="4" max="4" width="16.5703125" style="4" customWidth="1"/>
    <col min="5" max="5" width="16.7109375" style="5" customWidth="1"/>
    <col min="6" max="6" width="1.5703125" style="58" customWidth="1"/>
    <col min="7" max="8" width="15.5703125" style="58" bestFit="1" customWidth="1"/>
    <col min="9" max="9" width="14.5703125" style="3" customWidth="1"/>
    <col min="10" max="10" width="1.140625" style="58" customWidth="1"/>
    <col min="11" max="11" width="18.42578125" style="58" customWidth="1"/>
    <col min="12" max="12" width="9.140625" style="3"/>
    <col min="13" max="13" width="9.140625" style="58"/>
    <col min="14" max="14" width="15.5703125" style="142" bestFit="1" customWidth="1"/>
    <col min="15" max="15" width="14.140625" style="58" bestFit="1" customWidth="1"/>
    <col min="16" max="16384" width="9.140625" style="58"/>
  </cols>
  <sheetData>
    <row r="1" spans="1:14" x14ac:dyDescent="0.2">
      <c r="A1" s="1" t="s">
        <v>4</v>
      </c>
    </row>
    <row r="3" spans="1:14" x14ac:dyDescent="0.2">
      <c r="A3" s="1" t="s">
        <v>462</v>
      </c>
      <c r="G3" s="294" t="s">
        <v>11</v>
      </c>
      <c r="H3" s="294"/>
      <c r="I3" s="294"/>
      <c r="J3" s="294"/>
      <c r="K3" s="294"/>
      <c r="L3" s="294"/>
    </row>
    <row r="4" spans="1:14" s="62" customFormat="1" ht="13.5" thickBot="1" x14ac:dyDescent="0.3">
      <c r="A4" s="46" t="s">
        <v>6</v>
      </c>
      <c r="B4" s="47" t="s">
        <v>7</v>
      </c>
      <c r="C4" s="46" t="s">
        <v>8</v>
      </c>
      <c r="D4" s="48" t="s">
        <v>9</v>
      </c>
      <c r="E4" s="49" t="s">
        <v>10</v>
      </c>
      <c r="G4" s="295" t="s">
        <v>273</v>
      </c>
      <c r="H4" s="296"/>
      <c r="I4" s="104" t="s">
        <v>275</v>
      </c>
      <c r="J4" s="141"/>
      <c r="K4" s="93" t="s">
        <v>274</v>
      </c>
      <c r="L4" s="104" t="s">
        <v>12</v>
      </c>
      <c r="N4" s="66"/>
    </row>
    <row r="5" spans="1:14" s="62" customFormat="1" x14ac:dyDescent="0.25">
      <c r="A5" s="25">
        <v>1</v>
      </c>
      <c r="B5" s="26" t="s">
        <v>290</v>
      </c>
      <c r="C5" s="27"/>
      <c r="D5" s="167"/>
      <c r="E5" s="29"/>
      <c r="F5" s="156"/>
      <c r="G5" s="105"/>
      <c r="H5" s="72"/>
      <c r="I5" s="27"/>
      <c r="J5" s="72"/>
      <c r="K5" s="73">
        <f>SUM(H5:H30)</f>
        <v>459537.89</v>
      </c>
      <c r="L5" s="160">
        <f>K5/$G$138</f>
        <v>0.17470556676709781</v>
      </c>
      <c r="N5" s="66"/>
    </row>
    <row r="6" spans="1:14" s="62" customFormat="1" x14ac:dyDescent="0.25">
      <c r="A6" s="32" t="s">
        <v>14</v>
      </c>
      <c r="B6" s="8" t="s">
        <v>15</v>
      </c>
      <c r="C6" s="9"/>
      <c r="D6" s="164"/>
      <c r="E6" s="13"/>
      <c r="G6" s="109"/>
      <c r="H6" s="143">
        <f>G7</f>
        <v>5596.6900000000005</v>
      </c>
      <c r="I6" s="145">
        <f>H6/$K$5</f>
        <v>1.2178952207836442E-2</v>
      </c>
      <c r="J6" s="67"/>
      <c r="L6" s="185"/>
      <c r="N6" s="66"/>
    </row>
    <row r="7" spans="1:14" s="62" customFormat="1" x14ac:dyDescent="0.25">
      <c r="A7" s="32" t="s">
        <v>16</v>
      </c>
      <c r="B7" s="8" t="s">
        <v>463</v>
      </c>
      <c r="C7" s="9"/>
      <c r="D7" s="164"/>
      <c r="E7" s="13"/>
      <c r="G7" s="109">
        <f>SUM(G8:G11)</f>
        <v>5596.6900000000005</v>
      </c>
      <c r="H7" s="67"/>
      <c r="I7" s="146">
        <f>G7/$K$5</f>
        <v>1.2178952207836442E-2</v>
      </c>
      <c r="J7" s="67"/>
      <c r="K7" s="81"/>
      <c r="L7" s="161"/>
      <c r="N7" s="66"/>
    </row>
    <row r="8" spans="1:14" s="62" customFormat="1" x14ac:dyDescent="0.25">
      <c r="A8" s="33" t="s">
        <v>18</v>
      </c>
      <c r="B8" s="10" t="s">
        <v>19</v>
      </c>
      <c r="C8" s="9" t="s">
        <v>20</v>
      </c>
      <c r="D8" s="164">
        <v>204</v>
      </c>
      <c r="E8" s="13">
        <v>4.38</v>
      </c>
      <c r="G8" s="95">
        <v>893.52</v>
      </c>
      <c r="H8" s="67"/>
      <c r="I8" s="146">
        <f>G8/$K$5</f>
        <v>1.9443880895218455E-3</v>
      </c>
      <c r="J8" s="67"/>
      <c r="K8" s="81"/>
      <c r="L8" s="161"/>
      <c r="N8" s="66"/>
    </row>
    <row r="9" spans="1:14" s="62" customFormat="1" x14ac:dyDescent="0.25">
      <c r="A9" s="33" t="s">
        <v>21</v>
      </c>
      <c r="B9" s="10" t="s">
        <v>22</v>
      </c>
      <c r="C9" s="9" t="s">
        <v>23</v>
      </c>
      <c r="D9" s="164">
        <v>5.0999999999999996</v>
      </c>
      <c r="E9" s="13">
        <v>217.25</v>
      </c>
      <c r="G9" s="95">
        <v>1107.97</v>
      </c>
      <c r="H9" s="67"/>
      <c r="I9" s="146">
        <f>G9/$K$5</f>
        <v>2.4110525467225348E-3</v>
      </c>
      <c r="J9" s="67"/>
      <c r="K9" s="81"/>
      <c r="L9" s="161"/>
      <c r="N9" s="66"/>
    </row>
    <row r="10" spans="1:14" s="62" customFormat="1" x14ac:dyDescent="0.25">
      <c r="A10" s="33" t="s">
        <v>24</v>
      </c>
      <c r="B10" s="10" t="s">
        <v>25</v>
      </c>
      <c r="C10" s="9" t="s">
        <v>26</v>
      </c>
      <c r="D10" s="164">
        <v>61.2</v>
      </c>
      <c r="E10" s="13">
        <v>17.54</v>
      </c>
      <c r="G10" s="95">
        <v>1073.45</v>
      </c>
      <c r="H10" s="67"/>
      <c r="I10" s="146">
        <f>G10/$K$5</f>
        <v>2.3359336049525751E-3</v>
      </c>
      <c r="J10" s="67"/>
      <c r="K10" s="81"/>
      <c r="L10" s="161"/>
      <c r="N10" s="66"/>
    </row>
    <row r="11" spans="1:14" s="62" customFormat="1" x14ac:dyDescent="0.25">
      <c r="A11" s="33" t="s">
        <v>27</v>
      </c>
      <c r="B11" s="10" t="s">
        <v>28</v>
      </c>
      <c r="C11" s="9" t="s">
        <v>29</v>
      </c>
      <c r="D11" s="164">
        <v>1230.1199999999999</v>
      </c>
      <c r="E11" s="13">
        <v>2.0499999999999998</v>
      </c>
      <c r="G11" s="95">
        <v>2521.75</v>
      </c>
      <c r="H11" s="67"/>
      <c r="I11" s="146">
        <f>G11/$K$5</f>
        <v>5.4875779666394859E-3</v>
      </c>
      <c r="J11" s="67"/>
      <c r="K11" s="81"/>
      <c r="L11" s="161"/>
      <c r="N11" s="66"/>
    </row>
    <row r="12" spans="1:14" s="62" customFormat="1" x14ac:dyDescent="0.25">
      <c r="A12" s="32" t="s">
        <v>30</v>
      </c>
      <c r="B12" s="8" t="s">
        <v>31</v>
      </c>
      <c r="C12" s="9"/>
      <c r="D12" s="164"/>
      <c r="E12" s="13"/>
      <c r="G12" s="109"/>
      <c r="H12" s="143">
        <f>G13</f>
        <v>451863.8</v>
      </c>
      <c r="I12" s="145">
        <f>H12/$K$5</f>
        <v>0.98330041947139546</v>
      </c>
      <c r="J12" s="67"/>
      <c r="K12" s="81"/>
      <c r="L12" s="161"/>
      <c r="N12" s="66"/>
    </row>
    <row r="13" spans="1:14" s="62" customFormat="1" x14ac:dyDescent="0.25">
      <c r="A13" s="32" t="s">
        <v>32</v>
      </c>
      <c r="B13" s="8" t="s">
        <v>464</v>
      </c>
      <c r="C13" s="9"/>
      <c r="D13" s="164"/>
      <c r="E13" s="13"/>
      <c r="G13" s="109">
        <f>SUM(G14:G27)</f>
        <v>451863.8</v>
      </c>
      <c r="H13" s="67"/>
      <c r="I13" s="146">
        <f t="shared" ref="I13:I27" si="0">G13/$K$5</f>
        <v>0.98330041947139546</v>
      </c>
      <c r="J13" s="67"/>
      <c r="K13" s="81"/>
      <c r="L13" s="161"/>
      <c r="N13" s="66"/>
    </row>
    <row r="14" spans="1:14" s="62" customFormat="1" x14ac:dyDescent="0.25">
      <c r="A14" s="33" t="s">
        <v>34</v>
      </c>
      <c r="B14" s="10" t="s">
        <v>39</v>
      </c>
      <c r="C14" s="9" t="s">
        <v>26</v>
      </c>
      <c r="D14" s="164">
        <v>81.599999999999994</v>
      </c>
      <c r="E14" s="13">
        <v>641.26</v>
      </c>
      <c r="G14" s="95">
        <v>52326.82</v>
      </c>
      <c r="H14" s="67"/>
      <c r="I14" s="146">
        <f t="shared" si="0"/>
        <v>0.11386834717807491</v>
      </c>
      <c r="J14" s="67"/>
      <c r="K14" s="81"/>
      <c r="L14" s="161"/>
      <c r="N14" s="66"/>
    </row>
    <row r="15" spans="1:14" s="62" customFormat="1" x14ac:dyDescent="0.25">
      <c r="A15" s="33" t="s">
        <v>465</v>
      </c>
      <c r="B15" s="10" t="s">
        <v>41</v>
      </c>
      <c r="C15" s="9" t="s">
        <v>42</v>
      </c>
      <c r="D15" s="164">
        <v>2040</v>
      </c>
      <c r="E15" s="13">
        <v>8.64</v>
      </c>
      <c r="G15" s="95">
        <v>17625.599999999999</v>
      </c>
      <c r="H15" s="67"/>
      <c r="I15" s="146">
        <f t="shared" si="0"/>
        <v>3.835505272481448E-2</v>
      </c>
      <c r="J15" s="67"/>
      <c r="K15" s="81"/>
      <c r="L15" s="161"/>
      <c r="N15" s="66"/>
    </row>
    <row r="16" spans="1:14" s="62" customFormat="1" x14ac:dyDescent="0.25">
      <c r="A16" s="33" t="s">
        <v>466</v>
      </c>
      <c r="B16" s="10" t="s">
        <v>44</v>
      </c>
      <c r="C16" s="9" t="s">
        <v>42</v>
      </c>
      <c r="D16" s="164">
        <v>3672</v>
      </c>
      <c r="E16" s="13">
        <v>9.66</v>
      </c>
      <c r="G16" s="95">
        <v>35471.519999999997</v>
      </c>
      <c r="H16" s="67"/>
      <c r="I16" s="146">
        <f t="shared" si="0"/>
        <v>7.718954360868914E-2</v>
      </c>
      <c r="J16" s="67"/>
      <c r="K16" s="81"/>
      <c r="L16" s="161"/>
      <c r="N16" s="66"/>
    </row>
    <row r="17" spans="1:15" s="62" customFormat="1" x14ac:dyDescent="0.25">
      <c r="A17" s="33" t="s">
        <v>467</v>
      </c>
      <c r="B17" s="10" t="s">
        <v>46</v>
      </c>
      <c r="C17" s="9" t="s">
        <v>42</v>
      </c>
      <c r="D17" s="164">
        <v>3672</v>
      </c>
      <c r="E17" s="13">
        <v>8.84</v>
      </c>
      <c r="G17" s="95">
        <v>32460.48</v>
      </c>
      <c r="H17" s="67"/>
      <c r="I17" s="146">
        <f t="shared" si="0"/>
        <v>7.0637222101533351E-2</v>
      </c>
      <c r="J17" s="67"/>
      <c r="K17" s="81"/>
      <c r="L17" s="161"/>
      <c r="N17" s="66"/>
    </row>
    <row r="18" spans="1:15" s="62" customFormat="1" x14ac:dyDescent="0.25">
      <c r="A18" s="33" t="s">
        <v>468</v>
      </c>
      <c r="B18" s="10" t="s">
        <v>48</v>
      </c>
      <c r="C18" s="9" t="s">
        <v>26</v>
      </c>
      <c r="D18" s="164">
        <v>163.19999999999999</v>
      </c>
      <c r="E18" s="13">
        <v>25.13</v>
      </c>
      <c r="G18" s="95">
        <v>4101.22</v>
      </c>
      <c r="H18" s="67"/>
      <c r="I18" s="146">
        <f t="shared" si="0"/>
        <v>8.9246612504574972E-3</v>
      </c>
      <c r="J18" s="67"/>
      <c r="K18" s="81"/>
      <c r="L18" s="161"/>
      <c r="N18" s="66"/>
    </row>
    <row r="19" spans="1:15" s="62" customFormat="1" x14ac:dyDescent="0.25">
      <c r="A19" s="33" t="s">
        <v>469</v>
      </c>
      <c r="B19" s="10" t="s">
        <v>50</v>
      </c>
      <c r="C19" s="9" t="s">
        <v>26</v>
      </c>
      <c r="D19" s="164">
        <v>4.08</v>
      </c>
      <c r="E19" s="13">
        <v>900.01</v>
      </c>
      <c r="G19" s="95">
        <v>3672.04</v>
      </c>
      <c r="H19" s="67"/>
      <c r="I19" s="146">
        <f t="shared" si="0"/>
        <v>7.9907230283013213E-3</v>
      </c>
      <c r="J19" s="67"/>
      <c r="K19" s="81"/>
      <c r="L19" s="161"/>
      <c r="N19" s="66"/>
    </row>
    <row r="20" spans="1:15" s="62" customFormat="1" x14ac:dyDescent="0.25">
      <c r="A20" s="33" t="s">
        <v>470</v>
      </c>
      <c r="B20" s="10" t="s">
        <v>52</v>
      </c>
      <c r="C20" s="9" t="s">
        <v>26</v>
      </c>
      <c r="D20" s="164">
        <v>4.08</v>
      </c>
      <c r="E20" s="13">
        <v>1002.12</v>
      </c>
      <c r="G20" s="95">
        <v>4088.65</v>
      </c>
      <c r="H20" s="67"/>
      <c r="I20" s="146">
        <f t="shared" si="0"/>
        <v>8.8973076844653665E-3</v>
      </c>
      <c r="J20" s="67"/>
      <c r="K20" s="81"/>
      <c r="L20" s="161"/>
      <c r="N20" s="66"/>
    </row>
    <row r="21" spans="1:15" s="62" customFormat="1" x14ac:dyDescent="0.25">
      <c r="A21" s="33" t="s">
        <v>471</v>
      </c>
      <c r="B21" s="10" t="s">
        <v>54</v>
      </c>
      <c r="C21" s="9" t="s">
        <v>26</v>
      </c>
      <c r="D21" s="164">
        <v>102</v>
      </c>
      <c r="E21" s="13">
        <v>1037.21</v>
      </c>
      <c r="G21" s="95">
        <v>105795.42</v>
      </c>
      <c r="H21" s="67"/>
      <c r="I21" s="146">
        <f t="shared" si="0"/>
        <v>0.23022132081426408</v>
      </c>
      <c r="J21" s="67"/>
      <c r="K21" s="81"/>
      <c r="L21" s="161"/>
      <c r="N21" s="66"/>
    </row>
    <row r="22" spans="1:15" s="62" customFormat="1" x14ac:dyDescent="0.25">
      <c r="A22" s="33" t="s">
        <v>472</v>
      </c>
      <c r="B22" s="10" t="s">
        <v>56</v>
      </c>
      <c r="C22" s="9" t="s">
        <v>57</v>
      </c>
      <c r="D22" s="164">
        <v>102</v>
      </c>
      <c r="E22" s="13">
        <v>45.3</v>
      </c>
      <c r="G22" s="95">
        <v>4620.6000000000004</v>
      </c>
      <c r="H22" s="67"/>
      <c r="I22" s="146">
        <f t="shared" si="0"/>
        <v>1.0054883613623243E-2</v>
      </c>
      <c r="J22" s="67"/>
      <c r="K22" s="81"/>
      <c r="L22" s="161"/>
      <c r="N22" s="66"/>
    </row>
    <row r="23" spans="1:15" s="62" customFormat="1" x14ac:dyDescent="0.25">
      <c r="A23" s="33" t="s">
        <v>473</v>
      </c>
      <c r="B23" s="10" t="s">
        <v>59</v>
      </c>
      <c r="C23" s="9" t="s">
        <v>20</v>
      </c>
      <c r="D23" s="164">
        <v>204</v>
      </c>
      <c r="E23" s="13">
        <v>106.17</v>
      </c>
      <c r="G23" s="95">
        <v>21658.68</v>
      </c>
      <c r="H23" s="67"/>
      <c r="I23" s="146">
        <f t="shared" si="0"/>
        <v>4.7131434580943911E-2</v>
      </c>
      <c r="J23" s="67"/>
      <c r="K23" s="81"/>
      <c r="L23" s="161"/>
      <c r="N23" s="66"/>
    </row>
    <row r="24" spans="1:15" s="62" customFormat="1" ht="25.5" x14ac:dyDescent="0.25">
      <c r="A24" s="33" t="s">
        <v>474</v>
      </c>
      <c r="B24" s="10" t="s">
        <v>61</v>
      </c>
      <c r="C24" s="9" t="s">
        <v>26</v>
      </c>
      <c r="D24" s="164">
        <v>163.19999999999999</v>
      </c>
      <c r="E24" s="13">
        <v>56.85</v>
      </c>
      <c r="G24" s="95">
        <v>9277.92</v>
      </c>
      <c r="H24" s="67"/>
      <c r="I24" s="146">
        <f t="shared" si="0"/>
        <v>2.0189673587089847E-2</v>
      </c>
      <c r="J24" s="67"/>
      <c r="K24" s="81"/>
      <c r="L24" s="161"/>
      <c r="N24" s="66"/>
    </row>
    <row r="25" spans="1:15" s="62" customFormat="1" x14ac:dyDescent="0.25">
      <c r="A25" s="33" t="s">
        <v>475</v>
      </c>
      <c r="B25" s="10" t="s">
        <v>63</v>
      </c>
      <c r="C25" s="9" t="s">
        <v>20</v>
      </c>
      <c r="D25" s="164">
        <v>163.19999999999999</v>
      </c>
      <c r="E25" s="13">
        <v>76.84</v>
      </c>
      <c r="G25" s="95">
        <v>12540.29</v>
      </c>
      <c r="H25" s="67"/>
      <c r="I25" s="146">
        <f t="shared" si="0"/>
        <v>2.7288914087149594E-2</v>
      </c>
      <c r="J25" s="67"/>
      <c r="K25" s="81"/>
      <c r="L25" s="161"/>
      <c r="N25" s="66"/>
    </row>
    <row r="26" spans="1:15" s="62" customFormat="1" x14ac:dyDescent="0.25">
      <c r="A26" s="33" t="s">
        <v>476</v>
      </c>
      <c r="B26" s="10" t="s">
        <v>65</v>
      </c>
      <c r="C26" s="9" t="s">
        <v>42</v>
      </c>
      <c r="D26" s="164">
        <v>2550</v>
      </c>
      <c r="E26" s="13">
        <v>11.15</v>
      </c>
      <c r="G26" s="95">
        <v>28432.5</v>
      </c>
      <c r="H26" s="67"/>
      <c r="I26" s="146">
        <f t="shared" si="0"/>
        <v>6.1871938350937718E-2</v>
      </c>
      <c r="J26" s="67"/>
      <c r="K26" s="81"/>
      <c r="L26" s="161"/>
      <c r="N26" s="66"/>
    </row>
    <row r="27" spans="1:15" s="62" customFormat="1" x14ac:dyDescent="0.25">
      <c r="A27" s="33" t="s">
        <v>477</v>
      </c>
      <c r="B27" s="10" t="s">
        <v>67</v>
      </c>
      <c r="C27" s="9" t="s">
        <v>26</v>
      </c>
      <c r="D27" s="164">
        <v>163.19999999999999</v>
      </c>
      <c r="E27" s="13">
        <v>734.02</v>
      </c>
      <c r="G27" s="95">
        <v>119792.06</v>
      </c>
      <c r="H27" s="69"/>
      <c r="I27" s="146">
        <f t="shared" si="0"/>
        <v>0.26067939686105096</v>
      </c>
      <c r="J27" s="67"/>
      <c r="K27" s="81"/>
      <c r="L27" s="161"/>
      <c r="N27" s="66"/>
    </row>
    <row r="28" spans="1:15" s="62" customFormat="1" x14ac:dyDescent="0.25">
      <c r="A28" s="32" t="s">
        <v>68</v>
      </c>
      <c r="B28" s="8" t="s">
        <v>69</v>
      </c>
      <c r="C28" s="9"/>
      <c r="D28" s="164"/>
      <c r="E28" s="13"/>
      <c r="G28" s="109"/>
      <c r="H28" s="143">
        <f>G29</f>
        <v>2077.4</v>
      </c>
      <c r="I28" s="145">
        <f>H28/$K$5</f>
        <v>4.5206283207680654E-3</v>
      </c>
      <c r="J28" s="67"/>
      <c r="K28" s="81"/>
      <c r="L28" s="161"/>
      <c r="N28" s="66"/>
    </row>
    <row r="29" spans="1:15" s="62" customFormat="1" x14ac:dyDescent="0.25">
      <c r="A29" s="32" t="s">
        <v>70</v>
      </c>
      <c r="B29" s="8" t="s">
        <v>478</v>
      </c>
      <c r="C29" s="9"/>
      <c r="D29" s="164"/>
      <c r="E29" s="13"/>
      <c r="G29" s="109">
        <f>G30</f>
        <v>2077.4</v>
      </c>
      <c r="H29" s="67"/>
      <c r="I29" s="146">
        <f>G29/$K$5</f>
        <v>4.5206283207680654E-3</v>
      </c>
      <c r="J29" s="67"/>
      <c r="K29" s="81"/>
      <c r="L29" s="161"/>
      <c r="N29" s="66"/>
    </row>
    <row r="30" spans="1:15" s="62" customFormat="1" x14ac:dyDescent="0.25">
      <c r="A30" s="33" t="s">
        <v>72</v>
      </c>
      <c r="B30" s="10" t="s">
        <v>73</v>
      </c>
      <c r="C30" s="9" t="s">
        <v>57</v>
      </c>
      <c r="D30" s="164">
        <v>68</v>
      </c>
      <c r="E30" s="13">
        <v>30.55</v>
      </c>
      <c r="G30" s="95">
        <v>2077.4</v>
      </c>
      <c r="H30" s="67"/>
      <c r="I30" s="146">
        <f>G30/$K$5</f>
        <v>4.5206283207680654E-3</v>
      </c>
      <c r="J30" s="67"/>
      <c r="K30" s="81"/>
      <c r="L30" s="161"/>
      <c r="N30" s="66"/>
    </row>
    <row r="31" spans="1:15" s="62" customFormat="1" x14ac:dyDescent="0.25">
      <c r="A31" s="33"/>
      <c r="B31" s="10"/>
      <c r="C31" s="9"/>
      <c r="D31" s="164"/>
      <c r="E31" s="13"/>
      <c r="G31" s="95"/>
      <c r="H31" s="67"/>
      <c r="I31" s="146"/>
      <c r="J31" s="67"/>
      <c r="K31" s="81"/>
      <c r="L31" s="161"/>
      <c r="N31" s="66"/>
    </row>
    <row r="32" spans="1:15" s="62" customFormat="1" x14ac:dyDescent="0.25">
      <c r="A32" s="32">
        <v>2</v>
      </c>
      <c r="B32" s="8" t="s">
        <v>479</v>
      </c>
      <c r="C32" s="9"/>
      <c r="D32" s="164"/>
      <c r="E32" s="13"/>
      <c r="G32" s="109"/>
      <c r="H32" s="67"/>
      <c r="I32" s="146"/>
      <c r="J32" s="67"/>
      <c r="K32" s="68">
        <f>SUM(H32:H92)</f>
        <v>2170818.4203551002</v>
      </c>
      <c r="L32" s="169">
        <f>K32/$G$138</f>
        <v>0.82529443323290219</v>
      </c>
      <c r="N32" s="66"/>
      <c r="O32" s="65"/>
    </row>
    <row r="33" spans="1:15" s="62" customFormat="1" x14ac:dyDescent="0.25">
      <c r="A33" s="32" t="s">
        <v>79</v>
      </c>
      <c r="B33" s="8" t="s">
        <v>15</v>
      </c>
      <c r="C33" s="9"/>
      <c r="D33" s="164"/>
      <c r="E33" s="13"/>
      <c r="G33" s="109"/>
      <c r="H33" s="143">
        <f>G34+G39</f>
        <v>74293.39</v>
      </c>
      <c r="I33" s="145">
        <f>H33/$K$32</f>
        <v>3.4223677716834169E-2</v>
      </c>
      <c r="J33" s="67"/>
      <c r="K33" s="81"/>
      <c r="L33" s="161"/>
      <c r="N33" s="66"/>
    </row>
    <row r="34" spans="1:15" s="62" customFormat="1" x14ac:dyDescent="0.25">
      <c r="A34" s="32" t="s">
        <v>80</v>
      </c>
      <c r="B34" s="8" t="s">
        <v>480</v>
      </c>
      <c r="C34" s="9"/>
      <c r="D34" s="164"/>
      <c r="E34" s="13"/>
      <c r="G34" s="109">
        <f>SUM(G35:G38)</f>
        <v>56597.89</v>
      </c>
      <c r="H34" s="67"/>
      <c r="I34" s="146">
        <f>G34/$K$32</f>
        <v>2.6072143791161389E-2</v>
      </c>
      <c r="J34" s="67"/>
      <c r="K34" s="81"/>
      <c r="L34" s="161"/>
      <c r="N34" s="66"/>
    </row>
    <row r="35" spans="1:15" s="62" customFormat="1" x14ac:dyDescent="0.25">
      <c r="A35" s="33" t="s">
        <v>81</v>
      </c>
      <c r="B35" s="10" t="s">
        <v>19</v>
      </c>
      <c r="C35" s="9" t="s">
        <v>20</v>
      </c>
      <c r="D35" s="164">
        <v>2063</v>
      </c>
      <c r="E35" s="13">
        <v>4.38</v>
      </c>
      <c r="G35" s="95">
        <v>9035.94</v>
      </c>
      <c r="H35" s="67"/>
      <c r="I35" s="146">
        <f t="shared" ref="I35:I45" si="1">G35/$K$32</f>
        <v>4.1624577695088434E-3</v>
      </c>
      <c r="J35" s="67"/>
      <c r="K35" s="81"/>
      <c r="L35" s="161"/>
      <c r="N35" s="66"/>
    </row>
    <row r="36" spans="1:15" s="62" customFormat="1" x14ac:dyDescent="0.25">
      <c r="A36" s="33" t="s">
        <v>82</v>
      </c>
      <c r="B36" s="10" t="s">
        <v>22</v>
      </c>
      <c r="C36" s="9" t="s">
        <v>23</v>
      </c>
      <c r="D36" s="164">
        <v>51.58</v>
      </c>
      <c r="E36" s="13">
        <v>217.25</v>
      </c>
      <c r="G36" s="95">
        <v>11204.67</v>
      </c>
      <c r="H36" s="67"/>
      <c r="I36" s="146">
        <f t="shared" si="1"/>
        <v>5.161495726651864E-3</v>
      </c>
      <c r="J36" s="67"/>
      <c r="K36" s="81"/>
      <c r="L36" s="161"/>
      <c r="N36" s="66"/>
    </row>
    <row r="37" spans="1:15" s="62" customFormat="1" x14ac:dyDescent="0.25">
      <c r="A37" s="33" t="s">
        <v>83</v>
      </c>
      <c r="B37" s="10" t="s">
        <v>25</v>
      </c>
      <c r="C37" s="9" t="s">
        <v>26</v>
      </c>
      <c r="D37" s="164">
        <v>618.9</v>
      </c>
      <c r="E37" s="13">
        <v>17.54</v>
      </c>
      <c r="G37" s="95">
        <v>10855.51</v>
      </c>
      <c r="H37" s="67"/>
      <c r="I37" s="146">
        <f t="shared" si="1"/>
        <v>5.0006531629781673E-3</v>
      </c>
      <c r="J37" s="67"/>
      <c r="K37" s="81"/>
      <c r="L37" s="161"/>
      <c r="N37" s="66"/>
    </row>
    <row r="38" spans="1:15" s="62" customFormat="1" x14ac:dyDescent="0.25">
      <c r="A38" s="33" t="s">
        <v>84</v>
      </c>
      <c r="B38" s="10" t="s">
        <v>28</v>
      </c>
      <c r="C38" s="9" t="s">
        <v>29</v>
      </c>
      <c r="D38" s="164">
        <v>12439.89</v>
      </c>
      <c r="E38" s="13">
        <v>2.0499999999999998</v>
      </c>
      <c r="G38" s="95">
        <v>25501.77</v>
      </c>
      <c r="H38" s="67"/>
      <c r="I38" s="146">
        <f t="shared" si="1"/>
        <v>1.1747537132022515E-2</v>
      </c>
      <c r="J38" s="67"/>
      <c r="K38" s="81"/>
      <c r="L38" s="161"/>
      <c r="N38" s="66"/>
    </row>
    <row r="39" spans="1:15" s="62" customFormat="1" x14ac:dyDescent="0.25">
      <c r="A39" s="32" t="s">
        <v>278</v>
      </c>
      <c r="B39" s="8" t="s">
        <v>481</v>
      </c>
      <c r="C39" s="9"/>
      <c r="D39" s="164"/>
      <c r="E39" s="13"/>
      <c r="G39" s="109">
        <f>SUM(G40:G45)</f>
        <v>17695.5</v>
      </c>
      <c r="H39" s="67"/>
      <c r="I39" s="146">
        <f t="shared" si="1"/>
        <v>8.151533925672784E-3</v>
      </c>
      <c r="J39" s="67"/>
      <c r="K39" s="81"/>
      <c r="L39" s="161"/>
      <c r="N39" s="66"/>
    </row>
    <row r="40" spans="1:15" s="62" customFormat="1" x14ac:dyDescent="0.25">
      <c r="A40" s="33" t="s">
        <v>280</v>
      </c>
      <c r="B40" s="10" t="s">
        <v>281</v>
      </c>
      <c r="C40" s="9" t="s">
        <v>26</v>
      </c>
      <c r="D40" s="164">
        <v>109.8</v>
      </c>
      <c r="E40" s="13">
        <v>54.08</v>
      </c>
      <c r="G40" s="95">
        <v>5937.98</v>
      </c>
      <c r="H40" s="67"/>
      <c r="I40" s="146">
        <f t="shared" si="1"/>
        <v>2.7353646644608215E-3</v>
      </c>
      <c r="J40" s="67"/>
      <c r="K40" s="81"/>
      <c r="L40" s="161"/>
      <c r="N40" s="66"/>
    </row>
    <row r="41" spans="1:15" s="62" customFormat="1" x14ac:dyDescent="0.25">
      <c r="A41" s="33" t="s">
        <v>282</v>
      </c>
      <c r="B41" s="10" t="s">
        <v>283</v>
      </c>
      <c r="C41" s="9" t="s">
        <v>26</v>
      </c>
      <c r="D41" s="164">
        <v>27.45</v>
      </c>
      <c r="E41" s="13">
        <v>78.37</v>
      </c>
      <c r="G41" s="95">
        <v>2151.2600000000002</v>
      </c>
      <c r="H41" s="67"/>
      <c r="I41" s="146">
        <f t="shared" si="1"/>
        <v>9.9099030109026771E-4</v>
      </c>
      <c r="J41" s="67"/>
      <c r="K41" s="81"/>
      <c r="L41" s="161"/>
      <c r="N41" s="66"/>
    </row>
    <row r="42" spans="1:15" s="62" customFormat="1" x14ac:dyDescent="0.25">
      <c r="A42" s="33" t="s">
        <v>284</v>
      </c>
      <c r="B42" s="10" t="s">
        <v>285</v>
      </c>
      <c r="C42" s="9" t="s">
        <v>26</v>
      </c>
      <c r="D42" s="164">
        <v>9.61</v>
      </c>
      <c r="E42" s="13">
        <v>168.28</v>
      </c>
      <c r="G42" s="95">
        <v>1616.75</v>
      </c>
      <c r="H42" s="67"/>
      <c r="I42" s="146">
        <f t="shared" si="1"/>
        <v>7.4476519309041691E-4</v>
      </c>
      <c r="J42" s="67"/>
      <c r="K42" s="81"/>
      <c r="L42" s="161"/>
      <c r="N42" s="66"/>
    </row>
    <row r="43" spans="1:15" s="62" customFormat="1" x14ac:dyDescent="0.25">
      <c r="A43" s="33" t="s">
        <v>286</v>
      </c>
      <c r="B43" s="10" t="s">
        <v>287</v>
      </c>
      <c r="C43" s="9" t="s">
        <v>20</v>
      </c>
      <c r="D43" s="164">
        <v>146.4</v>
      </c>
      <c r="E43" s="13">
        <v>6.36</v>
      </c>
      <c r="G43" s="95">
        <v>931.1</v>
      </c>
      <c r="H43" s="67"/>
      <c r="I43" s="146">
        <f t="shared" si="1"/>
        <v>4.2891657416823081E-4</v>
      </c>
      <c r="J43" s="67"/>
      <c r="K43" s="81"/>
      <c r="L43" s="161"/>
      <c r="N43" s="66"/>
    </row>
    <row r="44" spans="1:15" s="62" customFormat="1" x14ac:dyDescent="0.25">
      <c r="A44" s="33" t="s">
        <v>288</v>
      </c>
      <c r="B44" s="10" t="s">
        <v>25</v>
      </c>
      <c r="C44" s="9" t="s">
        <v>26</v>
      </c>
      <c r="D44" s="164">
        <v>146.4</v>
      </c>
      <c r="E44" s="13">
        <v>17.54</v>
      </c>
      <c r="G44" s="95">
        <v>2567.86</v>
      </c>
      <c r="H44" s="67"/>
      <c r="I44" s="146">
        <f t="shared" si="1"/>
        <v>1.1828994889309776E-3</v>
      </c>
      <c r="J44" s="67"/>
      <c r="K44" s="81"/>
      <c r="L44" s="161"/>
      <c r="N44" s="66"/>
    </row>
    <row r="45" spans="1:15" s="62" customFormat="1" x14ac:dyDescent="0.25">
      <c r="A45" s="33" t="s">
        <v>289</v>
      </c>
      <c r="B45" s="10" t="s">
        <v>28</v>
      </c>
      <c r="C45" s="9" t="s">
        <v>29</v>
      </c>
      <c r="D45" s="164">
        <v>2190.5100000000002</v>
      </c>
      <c r="E45" s="13">
        <v>2.0499999999999998</v>
      </c>
      <c r="G45" s="95">
        <v>4490.55</v>
      </c>
      <c r="H45" s="67"/>
      <c r="I45" s="146">
        <f t="shared" si="1"/>
        <v>2.0685977039320686E-3</v>
      </c>
      <c r="J45" s="67"/>
      <c r="K45" s="81"/>
      <c r="L45" s="161"/>
      <c r="N45" s="66"/>
    </row>
    <row r="46" spans="1:15" s="62" customFormat="1" x14ac:dyDescent="0.25">
      <c r="A46" s="32" t="s">
        <v>85</v>
      </c>
      <c r="B46" s="8" t="s">
        <v>31</v>
      </c>
      <c r="C46" s="9"/>
      <c r="D46" s="164"/>
      <c r="E46" s="13"/>
      <c r="G46" s="109"/>
      <c r="H46" s="143">
        <f>G47+G49+G64+G68</f>
        <v>2077835.7203551</v>
      </c>
      <c r="I46" s="145">
        <f t="shared" ref="I46:I88" si="2">H46/$K$32</f>
        <v>0.95716698406088241</v>
      </c>
      <c r="J46" s="67"/>
      <c r="K46" s="81"/>
      <c r="L46" s="161"/>
      <c r="N46" s="66"/>
      <c r="O46" s="65"/>
    </row>
    <row r="47" spans="1:15" s="62" customFormat="1" x14ac:dyDescent="0.25">
      <c r="A47" s="32" t="s">
        <v>86</v>
      </c>
      <c r="B47" s="8" t="s">
        <v>482</v>
      </c>
      <c r="C47" s="9"/>
      <c r="D47" s="164"/>
      <c r="E47" s="13"/>
      <c r="G47" s="109">
        <f>G48</f>
        <v>557738.07999999996</v>
      </c>
      <c r="H47" s="67"/>
      <c r="I47" s="146">
        <f>G47/$K$32</f>
        <v>0.25692525674660793</v>
      </c>
      <c r="J47" s="67"/>
      <c r="K47" s="81"/>
      <c r="L47" s="161"/>
      <c r="N47" s="66"/>
    </row>
    <row r="48" spans="1:15" s="62" customFormat="1" ht="25.5" x14ac:dyDescent="0.25">
      <c r="A48" s="33" t="s">
        <v>87</v>
      </c>
      <c r="B48" s="10" t="s">
        <v>35</v>
      </c>
      <c r="C48" s="9" t="s">
        <v>20</v>
      </c>
      <c r="D48" s="164">
        <v>739</v>
      </c>
      <c r="E48" s="13">
        <v>754.72</v>
      </c>
      <c r="G48" s="95">
        <v>557738.07999999996</v>
      </c>
      <c r="H48" s="67"/>
      <c r="I48" s="146">
        <f t="shared" ref="I48:I87" si="3">G48/$K$32</f>
        <v>0.25692525674660793</v>
      </c>
      <c r="J48" s="67"/>
      <c r="K48" s="81"/>
      <c r="L48" s="161"/>
      <c r="N48" s="66"/>
    </row>
    <row r="49" spans="1:14" s="62" customFormat="1" x14ac:dyDescent="0.25">
      <c r="A49" s="32" t="s">
        <v>88</v>
      </c>
      <c r="B49" s="8" t="s">
        <v>483</v>
      </c>
      <c r="C49" s="9"/>
      <c r="D49" s="164"/>
      <c r="E49" s="13"/>
      <c r="G49" s="109">
        <f>SUM(G50:G63)</f>
        <v>1403098.3503551001</v>
      </c>
      <c r="H49" s="67"/>
      <c r="I49" s="146">
        <f t="shared" si="3"/>
        <v>0.64634533095844227</v>
      </c>
      <c r="J49" s="67"/>
      <c r="K49" s="81"/>
      <c r="L49" s="161"/>
      <c r="N49" s="66"/>
    </row>
    <row r="50" spans="1:14" s="62" customFormat="1" x14ac:dyDescent="0.25">
      <c r="A50" s="33" t="s">
        <v>89</v>
      </c>
      <c r="B50" s="10" t="s">
        <v>39</v>
      </c>
      <c r="C50" s="9" t="s">
        <v>26</v>
      </c>
      <c r="D50" s="164">
        <v>242.4</v>
      </c>
      <c r="E50" s="13">
        <v>641.26</v>
      </c>
      <c r="G50" s="95">
        <f>D50*E50</f>
        <v>155441.424</v>
      </c>
      <c r="H50" s="67"/>
      <c r="I50" s="146">
        <f t="shared" si="3"/>
        <v>7.1604986645807556E-2</v>
      </c>
      <c r="J50" s="67"/>
      <c r="K50" s="81"/>
      <c r="L50" s="161"/>
      <c r="N50" s="66"/>
    </row>
    <row r="51" spans="1:14" s="62" customFormat="1" x14ac:dyDescent="0.25">
      <c r="A51" s="33" t="s">
        <v>90</v>
      </c>
      <c r="B51" s="10" t="s">
        <v>41</v>
      </c>
      <c r="C51" s="9" t="s">
        <v>42</v>
      </c>
      <c r="D51" s="164">
        <v>6060</v>
      </c>
      <c r="E51" s="13">
        <v>8.64</v>
      </c>
      <c r="G51" s="95">
        <f t="shared" ref="G51:G63" si="4">D51*E51</f>
        <v>52358.400000000001</v>
      </c>
      <c r="H51" s="67"/>
      <c r="I51" s="146">
        <f t="shared" si="3"/>
        <v>2.4119198321265061E-2</v>
      </c>
      <c r="J51" s="67"/>
      <c r="K51" s="81"/>
      <c r="L51" s="161"/>
      <c r="N51" s="66"/>
    </row>
    <row r="52" spans="1:14" s="62" customFormat="1" x14ac:dyDescent="0.25">
      <c r="A52" s="33" t="s">
        <v>91</v>
      </c>
      <c r="B52" s="10" t="s">
        <v>44</v>
      </c>
      <c r="C52" s="9" t="s">
        <v>42</v>
      </c>
      <c r="D52" s="164">
        <v>10908</v>
      </c>
      <c r="E52" s="13">
        <v>9.66</v>
      </c>
      <c r="G52" s="95">
        <f t="shared" si="4"/>
        <v>105371.28</v>
      </c>
      <c r="H52" s="67"/>
      <c r="I52" s="146">
        <f t="shared" si="3"/>
        <v>4.853988662154593E-2</v>
      </c>
      <c r="J52" s="67"/>
      <c r="K52" s="81"/>
      <c r="L52" s="161"/>
      <c r="N52" s="66"/>
    </row>
    <row r="53" spans="1:14" s="62" customFormat="1" x14ac:dyDescent="0.25">
      <c r="A53" s="33" t="s">
        <v>92</v>
      </c>
      <c r="B53" s="10" t="s">
        <v>46</v>
      </c>
      <c r="C53" s="9" t="s">
        <v>42</v>
      </c>
      <c r="D53" s="164">
        <v>10908</v>
      </c>
      <c r="E53" s="13">
        <v>8.84</v>
      </c>
      <c r="G53" s="95">
        <f t="shared" si="4"/>
        <v>96426.72</v>
      </c>
      <c r="H53" s="67"/>
      <c r="I53" s="146">
        <f t="shared" si="3"/>
        <v>4.4419523574996483E-2</v>
      </c>
      <c r="J53" s="67"/>
      <c r="K53" s="81"/>
      <c r="L53" s="161"/>
      <c r="N53" s="66"/>
    </row>
    <row r="54" spans="1:14" s="62" customFormat="1" x14ac:dyDescent="0.25">
      <c r="A54" s="33" t="s">
        <v>93</v>
      </c>
      <c r="B54" s="10" t="s">
        <v>48</v>
      </c>
      <c r="C54" s="9" t="s">
        <v>26</v>
      </c>
      <c r="D54" s="164">
        <v>484.8</v>
      </c>
      <c r="E54" s="13">
        <v>25.13</v>
      </c>
      <c r="G54" s="95">
        <f t="shared" si="4"/>
        <v>12183.023999999999</v>
      </c>
      <c r="H54" s="67"/>
      <c r="I54" s="146">
        <f t="shared" si="3"/>
        <v>5.6121801279017678E-3</v>
      </c>
      <c r="J54" s="67"/>
      <c r="K54" s="81"/>
      <c r="L54" s="161"/>
      <c r="N54" s="66"/>
    </row>
    <row r="55" spans="1:14" s="62" customFormat="1" x14ac:dyDescent="0.25">
      <c r="A55" s="33" t="s">
        <v>94</v>
      </c>
      <c r="B55" s="10" t="s">
        <v>50</v>
      </c>
      <c r="C55" s="9" t="s">
        <v>26</v>
      </c>
      <c r="D55" s="164">
        <v>37.535510000000002</v>
      </c>
      <c r="E55" s="13">
        <v>900.01</v>
      </c>
      <c r="G55" s="95">
        <f t="shared" si="4"/>
        <v>33782.3343551</v>
      </c>
      <c r="H55" s="67"/>
      <c r="I55" s="146">
        <f t="shared" si="3"/>
        <v>1.5562026762963399E-2</v>
      </c>
      <c r="J55" s="67"/>
      <c r="K55" s="81"/>
      <c r="L55" s="161"/>
      <c r="N55" s="66"/>
    </row>
    <row r="56" spans="1:14" s="62" customFormat="1" x14ac:dyDescent="0.25">
      <c r="A56" s="33" t="s">
        <v>95</v>
      </c>
      <c r="B56" s="10" t="s">
        <v>52</v>
      </c>
      <c r="C56" s="9" t="s">
        <v>26</v>
      </c>
      <c r="D56" s="164">
        <v>37</v>
      </c>
      <c r="E56" s="13">
        <v>1002.12</v>
      </c>
      <c r="G56" s="95">
        <f t="shared" si="4"/>
        <v>37078.44</v>
      </c>
      <c r="H56" s="67"/>
      <c r="I56" s="146">
        <f t="shared" si="3"/>
        <v>1.7080396799809147E-2</v>
      </c>
      <c r="J56" s="67"/>
      <c r="K56" s="81"/>
      <c r="L56" s="161"/>
      <c r="N56" s="66"/>
    </row>
    <row r="57" spans="1:14" s="62" customFormat="1" x14ac:dyDescent="0.25">
      <c r="A57" s="33" t="s">
        <v>96</v>
      </c>
      <c r="B57" s="10" t="s">
        <v>54</v>
      </c>
      <c r="C57" s="9" t="s">
        <v>26</v>
      </c>
      <c r="D57" s="164">
        <v>315</v>
      </c>
      <c r="E57" s="13">
        <v>1037.21</v>
      </c>
      <c r="G57" s="95">
        <f t="shared" si="4"/>
        <v>326721.15000000002</v>
      </c>
      <c r="H57" s="67"/>
      <c r="I57" s="146">
        <f t="shared" si="3"/>
        <v>0.15050597826904163</v>
      </c>
      <c r="J57" s="67"/>
      <c r="K57" s="81"/>
      <c r="L57" s="161"/>
      <c r="N57" s="66"/>
    </row>
    <row r="58" spans="1:14" s="62" customFormat="1" x14ac:dyDescent="0.25">
      <c r="A58" s="33" t="s">
        <v>97</v>
      </c>
      <c r="B58" s="10" t="s">
        <v>56</v>
      </c>
      <c r="C58" s="9" t="s">
        <v>57</v>
      </c>
      <c r="D58" s="164">
        <v>315</v>
      </c>
      <c r="E58" s="13">
        <v>45.3</v>
      </c>
      <c r="G58" s="95">
        <f t="shared" si="4"/>
        <v>14269.5</v>
      </c>
      <c r="H58" s="67"/>
      <c r="I58" s="146">
        <f t="shared" si="3"/>
        <v>6.5733273065122647E-3</v>
      </c>
      <c r="J58" s="67"/>
      <c r="K58" s="81"/>
      <c r="L58" s="161"/>
      <c r="N58" s="66"/>
    </row>
    <row r="59" spans="1:14" s="62" customFormat="1" x14ac:dyDescent="0.25">
      <c r="A59" s="33" t="s">
        <v>98</v>
      </c>
      <c r="B59" s="10" t="s">
        <v>59</v>
      </c>
      <c r="C59" s="9" t="s">
        <v>20</v>
      </c>
      <c r="D59" s="164">
        <v>606</v>
      </c>
      <c r="E59" s="13">
        <v>106.17</v>
      </c>
      <c r="G59" s="95">
        <f t="shared" si="4"/>
        <v>64339.020000000004</v>
      </c>
      <c r="H59" s="67"/>
      <c r="I59" s="146">
        <f t="shared" si="3"/>
        <v>2.9638139881582308E-2</v>
      </c>
      <c r="J59" s="67"/>
      <c r="K59" s="81"/>
      <c r="L59" s="161"/>
      <c r="N59" s="66"/>
    </row>
    <row r="60" spans="1:14" s="62" customFormat="1" ht="25.5" x14ac:dyDescent="0.25">
      <c r="A60" s="33" t="s">
        <v>99</v>
      </c>
      <c r="B60" s="10" t="s">
        <v>61</v>
      </c>
      <c r="C60" s="9" t="s">
        <v>26</v>
      </c>
      <c r="D60" s="164">
        <v>484.8</v>
      </c>
      <c r="E60" s="13">
        <v>56.85</v>
      </c>
      <c r="G60" s="95">
        <f t="shared" si="4"/>
        <v>27560.880000000001</v>
      </c>
      <c r="H60" s="67"/>
      <c r="I60" s="146">
        <f t="shared" si="3"/>
        <v>1.2696078005221469E-2</v>
      </c>
      <c r="J60" s="67"/>
      <c r="K60" s="81"/>
      <c r="L60" s="161"/>
      <c r="N60" s="66"/>
    </row>
    <row r="61" spans="1:14" s="62" customFormat="1" x14ac:dyDescent="0.25">
      <c r="A61" s="33" t="s">
        <v>100</v>
      </c>
      <c r="B61" s="10" t="s">
        <v>63</v>
      </c>
      <c r="C61" s="9" t="s">
        <v>20</v>
      </c>
      <c r="D61" s="164">
        <v>484.8</v>
      </c>
      <c r="E61" s="13">
        <v>76.84</v>
      </c>
      <c r="G61" s="95">
        <f t="shared" si="4"/>
        <v>37252.031999999999</v>
      </c>
      <c r="H61" s="67"/>
      <c r="I61" s="146">
        <f t="shared" si="3"/>
        <v>1.7160362953759323E-2</v>
      </c>
      <c r="J61" s="67"/>
      <c r="K61" s="81"/>
      <c r="L61" s="161"/>
      <c r="N61" s="66"/>
    </row>
    <row r="62" spans="1:14" s="62" customFormat="1" x14ac:dyDescent="0.25">
      <c r="A62" s="33" t="s">
        <v>101</v>
      </c>
      <c r="B62" s="10" t="s">
        <v>65</v>
      </c>
      <c r="C62" s="9" t="s">
        <v>42</v>
      </c>
      <c r="D62" s="164">
        <v>7575</v>
      </c>
      <c r="E62" s="13">
        <v>11.15</v>
      </c>
      <c r="G62" s="95">
        <f t="shared" si="4"/>
        <v>84461.25</v>
      </c>
      <c r="H62" s="67"/>
      <c r="I62" s="146">
        <f t="shared" si="3"/>
        <v>3.8907560949378674E-2</v>
      </c>
      <c r="J62" s="67"/>
      <c r="K62" s="81"/>
      <c r="L62" s="161"/>
      <c r="N62" s="66"/>
    </row>
    <row r="63" spans="1:14" s="62" customFormat="1" x14ac:dyDescent="0.25">
      <c r="A63" s="33" t="s">
        <v>102</v>
      </c>
      <c r="B63" s="10" t="s">
        <v>67</v>
      </c>
      <c r="C63" s="9" t="s">
        <v>26</v>
      </c>
      <c r="D63" s="164">
        <v>484.8</v>
      </c>
      <c r="E63" s="13">
        <v>734.02</v>
      </c>
      <c r="G63" s="95">
        <f t="shared" si="4"/>
        <v>355852.89600000001</v>
      </c>
      <c r="H63" s="67"/>
      <c r="I63" s="146">
        <f t="shared" si="3"/>
        <v>0.16392568473865721</v>
      </c>
      <c r="J63" s="67"/>
      <c r="K63" s="81"/>
      <c r="L63" s="161"/>
      <c r="N63" s="66"/>
    </row>
    <row r="64" spans="1:14" s="62" customFormat="1" x14ac:dyDescent="0.25">
      <c r="A64" s="32" t="s">
        <v>484</v>
      </c>
      <c r="B64" s="8" t="s">
        <v>485</v>
      </c>
      <c r="C64" s="9"/>
      <c r="D64" s="164"/>
      <c r="E64" s="13"/>
      <c r="G64" s="109">
        <f>SUM(G65:G67)</f>
        <v>107734.76999999999</v>
      </c>
      <c r="H64" s="67"/>
      <c r="I64" s="146">
        <f t="shared" si="3"/>
        <v>4.9628641893676599E-2</v>
      </c>
      <c r="J64" s="67"/>
      <c r="K64" s="81"/>
      <c r="L64" s="161"/>
      <c r="N64" s="66"/>
    </row>
    <row r="65" spans="1:14" s="62" customFormat="1" x14ac:dyDescent="0.25">
      <c r="A65" s="33" t="s">
        <v>486</v>
      </c>
      <c r="B65" s="10" t="s">
        <v>121</v>
      </c>
      <c r="C65" s="9" t="s">
        <v>26</v>
      </c>
      <c r="D65" s="164">
        <v>1287</v>
      </c>
      <c r="E65" s="13">
        <v>78.849999999999994</v>
      </c>
      <c r="G65" s="95">
        <f>D65*E65</f>
        <v>101479.95</v>
      </c>
      <c r="H65" s="67"/>
      <c r="I65" s="146">
        <f t="shared" si="3"/>
        <v>4.674732305956756E-2</v>
      </c>
      <c r="J65" s="67"/>
      <c r="K65" s="81"/>
      <c r="L65" s="161"/>
      <c r="N65" s="66"/>
    </row>
    <row r="66" spans="1:14" s="62" customFormat="1" x14ac:dyDescent="0.25">
      <c r="A66" s="33" t="s">
        <v>487</v>
      </c>
      <c r="B66" s="10" t="s">
        <v>123</v>
      </c>
      <c r="C66" s="9" t="s">
        <v>26</v>
      </c>
      <c r="D66" s="164">
        <v>214.5</v>
      </c>
      <c r="E66" s="13">
        <v>10.49</v>
      </c>
      <c r="G66" s="95">
        <f t="shared" ref="G66:G67" si="5">D66*E66</f>
        <v>2250.105</v>
      </c>
      <c r="H66" s="67"/>
      <c r="I66" s="146">
        <f t="shared" si="3"/>
        <v>1.0365238192662518E-3</v>
      </c>
      <c r="J66" s="67"/>
      <c r="K66" s="81"/>
      <c r="L66" s="161"/>
      <c r="N66" s="66"/>
    </row>
    <row r="67" spans="1:14" s="62" customFormat="1" x14ac:dyDescent="0.25">
      <c r="A67" s="33" t="s">
        <v>488</v>
      </c>
      <c r="B67" s="10" t="s">
        <v>125</v>
      </c>
      <c r="C67" s="9" t="s">
        <v>26</v>
      </c>
      <c r="D67" s="164">
        <v>214.5</v>
      </c>
      <c r="E67" s="13">
        <v>18.670000000000002</v>
      </c>
      <c r="G67" s="95">
        <f t="shared" si="5"/>
        <v>4004.7150000000001</v>
      </c>
      <c r="H67" s="67"/>
      <c r="I67" s="146">
        <f t="shared" si="3"/>
        <v>1.8447950148427952E-3</v>
      </c>
      <c r="J67" s="67"/>
      <c r="K67" s="81"/>
      <c r="L67" s="161"/>
      <c r="N67" s="66"/>
    </row>
    <row r="68" spans="1:14" s="62" customFormat="1" x14ac:dyDescent="0.25">
      <c r="A68" s="32" t="s">
        <v>489</v>
      </c>
      <c r="B68" s="8" t="s">
        <v>490</v>
      </c>
      <c r="C68" s="9"/>
      <c r="D68" s="164"/>
      <c r="E68" s="13"/>
      <c r="G68" s="109">
        <f>G69+G75</f>
        <v>9264.52</v>
      </c>
      <c r="H68" s="67"/>
      <c r="I68" s="146">
        <f t="shared" si="3"/>
        <v>4.2677544621555772E-3</v>
      </c>
      <c r="J68" s="67"/>
      <c r="K68" s="81"/>
      <c r="L68" s="161"/>
      <c r="N68" s="66"/>
    </row>
    <row r="69" spans="1:14" s="62" customFormat="1" x14ac:dyDescent="0.25">
      <c r="A69" s="32" t="s">
        <v>491</v>
      </c>
      <c r="B69" s="8" t="s">
        <v>146</v>
      </c>
      <c r="C69" s="9"/>
      <c r="D69" s="164"/>
      <c r="E69" s="13"/>
      <c r="G69" s="109">
        <f>SUM(G70:G74)</f>
        <v>4272.96</v>
      </c>
      <c r="H69" s="67"/>
      <c r="I69" s="146">
        <f t="shared" si="3"/>
        <v>1.9683636180409018E-3</v>
      </c>
      <c r="J69" s="67"/>
      <c r="K69" s="81"/>
      <c r="L69" s="161"/>
      <c r="N69" s="66"/>
    </row>
    <row r="70" spans="1:14" s="62" customFormat="1" ht="25.5" x14ac:dyDescent="0.25">
      <c r="A70" s="33" t="s">
        <v>492</v>
      </c>
      <c r="B70" s="10" t="s">
        <v>148</v>
      </c>
      <c r="C70" s="9" t="s">
        <v>149</v>
      </c>
      <c r="D70" s="164">
        <v>5.0999999999999996</v>
      </c>
      <c r="E70" s="13">
        <v>238.49</v>
      </c>
      <c r="G70" s="95">
        <v>1216.3</v>
      </c>
      <c r="H70" s="67"/>
      <c r="I70" s="146">
        <f t="shared" si="3"/>
        <v>5.6029559570488574E-4</v>
      </c>
      <c r="J70" s="67"/>
      <c r="K70" s="81"/>
      <c r="L70" s="161"/>
      <c r="N70" s="66"/>
    </row>
    <row r="71" spans="1:14" s="62" customFormat="1" ht="25.5" x14ac:dyDescent="0.25">
      <c r="A71" s="33" t="s">
        <v>493</v>
      </c>
      <c r="B71" s="10" t="s">
        <v>151</v>
      </c>
      <c r="C71" s="9" t="s">
        <v>57</v>
      </c>
      <c r="D71" s="164">
        <v>9</v>
      </c>
      <c r="E71" s="13">
        <v>337.82</v>
      </c>
      <c r="G71" s="95">
        <v>3040.38</v>
      </c>
      <c r="H71" s="67"/>
      <c r="I71" s="146">
        <f t="shared" si="3"/>
        <v>1.4005685466325912E-3</v>
      </c>
      <c r="J71" s="67"/>
      <c r="K71" s="81"/>
      <c r="L71" s="161"/>
      <c r="N71" s="66"/>
    </row>
    <row r="72" spans="1:14" s="62" customFormat="1" x14ac:dyDescent="0.25">
      <c r="A72" s="33" t="s">
        <v>494</v>
      </c>
      <c r="B72" s="10" t="s">
        <v>153</v>
      </c>
      <c r="C72" s="9" t="s">
        <v>154</v>
      </c>
      <c r="D72" s="164">
        <v>17.25</v>
      </c>
      <c r="E72" s="13">
        <v>0.76</v>
      </c>
      <c r="G72" s="95">
        <v>13.11</v>
      </c>
      <c r="H72" s="67"/>
      <c r="I72" s="146">
        <f t="shared" si="3"/>
        <v>6.0391969577333327E-6</v>
      </c>
      <c r="J72" s="67"/>
      <c r="K72" s="81"/>
      <c r="L72" s="161"/>
      <c r="N72" s="66"/>
    </row>
    <row r="73" spans="1:14" s="62" customFormat="1" x14ac:dyDescent="0.25">
      <c r="A73" s="33" t="s">
        <v>495</v>
      </c>
      <c r="B73" s="10" t="s">
        <v>123</v>
      </c>
      <c r="C73" s="9" t="s">
        <v>26</v>
      </c>
      <c r="D73" s="164">
        <v>0.3</v>
      </c>
      <c r="E73" s="13">
        <v>10.49</v>
      </c>
      <c r="G73" s="95">
        <v>3.15</v>
      </c>
      <c r="H73" s="67"/>
      <c r="I73" s="146">
        <f t="shared" si="3"/>
        <v>1.4510656305766588E-6</v>
      </c>
      <c r="J73" s="67"/>
      <c r="K73" s="81"/>
      <c r="L73" s="161"/>
      <c r="N73" s="66"/>
    </row>
    <row r="74" spans="1:14" s="62" customFormat="1" ht="25.5" x14ac:dyDescent="0.25">
      <c r="A74" s="33" t="s">
        <v>496</v>
      </c>
      <c r="B74" s="10" t="s">
        <v>157</v>
      </c>
      <c r="C74" s="9" t="s">
        <v>158</v>
      </c>
      <c r="D74" s="164">
        <v>0.02</v>
      </c>
      <c r="E74" s="13">
        <v>0.83</v>
      </c>
      <c r="G74" s="95">
        <v>0.02</v>
      </c>
      <c r="H74" s="67"/>
      <c r="I74" s="146">
        <f t="shared" si="3"/>
        <v>9.213115114772438E-9</v>
      </c>
      <c r="J74" s="67"/>
      <c r="K74" s="81"/>
      <c r="L74" s="161"/>
      <c r="N74" s="66"/>
    </row>
    <row r="75" spans="1:14" s="62" customFormat="1" x14ac:dyDescent="0.25">
      <c r="A75" s="32" t="s">
        <v>497</v>
      </c>
      <c r="B75" s="8" t="s">
        <v>160</v>
      </c>
      <c r="C75" s="9"/>
      <c r="D75" s="164"/>
      <c r="E75" s="13"/>
      <c r="G75" s="109">
        <f>SUM(G76:G87)</f>
        <v>4991.5600000000004</v>
      </c>
      <c r="H75" s="67"/>
      <c r="I75" s="146">
        <f t="shared" si="3"/>
        <v>2.2993908441146754E-3</v>
      </c>
      <c r="J75" s="67"/>
      <c r="K75" s="81"/>
      <c r="L75" s="161"/>
      <c r="N75" s="66"/>
    </row>
    <row r="76" spans="1:14" s="62" customFormat="1" ht="25.5" x14ac:dyDescent="0.25">
      <c r="A76" s="33" t="s">
        <v>498</v>
      </c>
      <c r="B76" s="10" t="s">
        <v>162</v>
      </c>
      <c r="C76" s="9" t="s">
        <v>20</v>
      </c>
      <c r="D76" s="164">
        <v>1.5</v>
      </c>
      <c r="E76" s="13">
        <v>42.99</v>
      </c>
      <c r="G76" s="95">
        <v>64.48</v>
      </c>
      <c r="H76" s="67"/>
      <c r="I76" s="146">
        <f t="shared" si="3"/>
        <v>2.9703083130026341E-5</v>
      </c>
      <c r="J76" s="67"/>
      <c r="K76" s="81"/>
      <c r="L76" s="161"/>
      <c r="N76" s="66"/>
    </row>
    <row r="77" spans="1:14" s="62" customFormat="1" x14ac:dyDescent="0.25">
      <c r="A77" s="33" t="s">
        <v>499</v>
      </c>
      <c r="B77" s="10" t="s">
        <v>164</v>
      </c>
      <c r="C77" s="9" t="s">
        <v>42</v>
      </c>
      <c r="D77" s="164">
        <v>90</v>
      </c>
      <c r="E77" s="13">
        <v>13.5</v>
      </c>
      <c r="G77" s="95">
        <v>1215</v>
      </c>
      <c r="H77" s="67"/>
      <c r="I77" s="146">
        <f t="shared" si="3"/>
        <v>5.596967432224256E-4</v>
      </c>
      <c r="J77" s="67"/>
      <c r="K77" s="81"/>
      <c r="L77" s="161"/>
      <c r="N77" s="66"/>
    </row>
    <row r="78" spans="1:14" s="62" customFormat="1" x14ac:dyDescent="0.25">
      <c r="A78" s="33" t="s">
        <v>500</v>
      </c>
      <c r="B78" s="10" t="s">
        <v>166</v>
      </c>
      <c r="C78" s="9" t="s">
        <v>42</v>
      </c>
      <c r="D78" s="164">
        <v>150</v>
      </c>
      <c r="E78" s="13">
        <v>10.35</v>
      </c>
      <c r="G78" s="95">
        <v>1552.5</v>
      </c>
      <c r="H78" s="67"/>
      <c r="I78" s="146">
        <f t="shared" si="3"/>
        <v>7.1516806078421042E-4</v>
      </c>
      <c r="J78" s="67"/>
      <c r="K78" s="81"/>
      <c r="L78" s="161"/>
      <c r="N78" s="66"/>
    </row>
    <row r="79" spans="1:14" s="62" customFormat="1" x14ac:dyDescent="0.25">
      <c r="A79" s="33" t="s">
        <v>501</v>
      </c>
      <c r="B79" s="10" t="s">
        <v>168</v>
      </c>
      <c r="C79" s="9" t="s">
        <v>26</v>
      </c>
      <c r="D79" s="164">
        <v>2.25</v>
      </c>
      <c r="E79" s="13">
        <v>648.51</v>
      </c>
      <c r="G79" s="95">
        <v>1459.15</v>
      </c>
      <c r="H79" s="67"/>
      <c r="I79" s="146">
        <f t="shared" si="3"/>
        <v>6.7216584598601015E-4</v>
      </c>
      <c r="J79" s="67"/>
      <c r="K79" s="81"/>
      <c r="L79" s="161"/>
      <c r="N79" s="66"/>
    </row>
    <row r="80" spans="1:14" s="62" customFormat="1" ht="25.5" x14ac:dyDescent="0.25">
      <c r="A80" s="33" t="s">
        <v>502</v>
      </c>
      <c r="B80" s="10" t="s">
        <v>170</v>
      </c>
      <c r="C80" s="9" t="s">
        <v>57</v>
      </c>
      <c r="D80" s="164">
        <v>0.45</v>
      </c>
      <c r="E80" s="13">
        <v>73.319999999999993</v>
      </c>
      <c r="G80" s="95">
        <v>32.99</v>
      </c>
      <c r="H80" s="67"/>
      <c r="I80" s="146">
        <f t="shared" si="3"/>
        <v>1.5197033381817137E-5</v>
      </c>
      <c r="J80" s="67"/>
      <c r="K80" s="81"/>
      <c r="L80" s="161"/>
      <c r="N80" s="66"/>
    </row>
    <row r="81" spans="1:14" s="62" customFormat="1" ht="25.5" x14ac:dyDescent="0.25">
      <c r="A81" s="33" t="s">
        <v>503</v>
      </c>
      <c r="B81" s="10" t="s">
        <v>172</v>
      </c>
      <c r="C81" s="9" t="s">
        <v>57</v>
      </c>
      <c r="D81" s="164">
        <v>1.05</v>
      </c>
      <c r="E81" s="13">
        <v>100.93</v>
      </c>
      <c r="G81" s="95">
        <v>105.98</v>
      </c>
      <c r="H81" s="67"/>
      <c r="I81" s="146">
        <f t="shared" si="3"/>
        <v>4.8820296993179144E-5</v>
      </c>
      <c r="J81" s="67"/>
      <c r="K81" s="81"/>
      <c r="L81" s="161"/>
      <c r="N81" s="66"/>
    </row>
    <row r="82" spans="1:14" s="62" customFormat="1" x14ac:dyDescent="0.25">
      <c r="A82" s="33" t="s">
        <v>504</v>
      </c>
      <c r="B82" s="10" t="s">
        <v>174</v>
      </c>
      <c r="C82" s="9" t="s">
        <v>57</v>
      </c>
      <c r="D82" s="164">
        <v>0.75</v>
      </c>
      <c r="E82" s="13">
        <v>381.67</v>
      </c>
      <c r="G82" s="95">
        <v>286.25</v>
      </c>
      <c r="H82" s="67"/>
      <c r="I82" s="146">
        <f t="shared" si="3"/>
        <v>1.3186271008018051E-4</v>
      </c>
      <c r="J82" s="67"/>
      <c r="K82" s="81"/>
      <c r="L82" s="161"/>
      <c r="N82" s="66"/>
    </row>
    <row r="83" spans="1:14" s="62" customFormat="1" ht="25.5" x14ac:dyDescent="0.25">
      <c r="A83" s="33" t="s">
        <v>505</v>
      </c>
      <c r="B83" s="10" t="s">
        <v>176</v>
      </c>
      <c r="C83" s="9" t="s">
        <v>149</v>
      </c>
      <c r="D83" s="164">
        <v>0.23</v>
      </c>
      <c r="E83" s="13">
        <v>7.22</v>
      </c>
      <c r="G83" s="95">
        <v>1.62</v>
      </c>
      <c r="H83" s="67"/>
      <c r="I83" s="146">
        <f t="shared" si="3"/>
        <v>7.4626232429656749E-7</v>
      </c>
      <c r="J83" s="67"/>
      <c r="K83" s="81"/>
      <c r="L83" s="161"/>
      <c r="N83" s="66"/>
    </row>
    <row r="84" spans="1:14" s="62" customFormat="1" x14ac:dyDescent="0.25">
      <c r="A84" s="33" t="s">
        <v>506</v>
      </c>
      <c r="B84" s="10" t="s">
        <v>178</v>
      </c>
      <c r="C84" s="9" t="s">
        <v>23</v>
      </c>
      <c r="D84" s="164">
        <v>2.25</v>
      </c>
      <c r="E84" s="13">
        <v>36.69</v>
      </c>
      <c r="G84" s="95">
        <v>82.55</v>
      </c>
      <c r="H84" s="67"/>
      <c r="I84" s="146">
        <f t="shared" si="3"/>
        <v>3.8027132636223233E-5</v>
      </c>
      <c r="J84" s="67"/>
      <c r="K84" s="81"/>
      <c r="L84" s="161"/>
      <c r="N84" s="66"/>
    </row>
    <row r="85" spans="1:14" s="62" customFormat="1" x14ac:dyDescent="0.25">
      <c r="A85" s="33" t="s">
        <v>507</v>
      </c>
      <c r="B85" s="10" t="s">
        <v>180</v>
      </c>
      <c r="C85" s="9" t="s">
        <v>23</v>
      </c>
      <c r="D85" s="164">
        <v>1.61</v>
      </c>
      <c r="E85" s="13">
        <v>29.6</v>
      </c>
      <c r="G85" s="95">
        <v>47.51</v>
      </c>
      <c r="H85" s="67"/>
      <c r="I85" s="146">
        <f t="shared" si="3"/>
        <v>2.1885754955141925E-5</v>
      </c>
      <c r="J85" s="67"/>
      <c r="K85" s="81"/>
      <c r="L85" s="161"/>
      <c r="N85" s="66"/>
    </row>
    <row r="86" spans="1:14" s="62" customFormat="1" ht="25.5" x14ac:dyDescent="0.25">
      <c r="A86" s="33" t="s">
        <v>508</v>
      </c>
      <c r="B86" s="10" t="s">
        <v>182</v>
      </c>
      <c r="C86" s="9" t="s">
        <v>26</v>
      </c>
      <c r="D86" s="164">
        <v>0.3</v>
      </c>
      <c r="E86" s="13">
        <v>218.93</v>
      </c>
      <c r="G86" s="95">
        <v>65.680000000000007</v>
      </c>
      <c r="H86" s="67"/>
      <c r="I86" s="146">
        <f t="shared" si="3"/>
        <v>3.0255870036912687E-5</v>
      </c>
      <c r="J86" s="67"/>
      <c r="K86" s="81"/>
      <c r="L86" s="161"/>
      <c r="N86" s="66"/>
    </row>
    <row r="87" spans="1:14" s="62" customFormat="1" ht="25.5" x14ac:dyDescent="0.25">
      <c r="A87" s="33" t="s">
        <v>509</v>
      </c>
      <c r="B87" s="10" t="s">
        <v>184</v>
      </c>
      <c r="C87" s="9" t="s">
        <v>20</v>
      </c>
      <c r="D87" s="164">
        <v>3</v>
      </c>
      <c r="E87" s="13">
        <v>25.95</v>
      </c>
      <c r="G87" s="95">
        <v>77.849999999999994</v>
      </c>
      <c r="H87" s="67"/>
      <c r="I87" s="146">
        <f t="shared" si="3"/>
        <v>3.5862050584251709E-5</v>
      </c>
      <c r="J87" s="67"/>
      <c r="K87" s="81"/>
      <c r="L87" s="161"/>
      <c r="N87" s="66"/>
    </row>
    <row r="88" spans="1:14" s="62" customFormat="1" x14ac:dyDescent="0.25">
      <c r="A88" s="32" t="s">
        <v>103</v>
      </c>
      <c r="B88" s="8" t="s">
        <v>69</v>
      </c>
      <c r="C88" s="9"/>
      <c r="D88" s="164"/>
      <c r="E88" s="13"/>
      <c r="G88" s="109"/>
      <c r="H88" s="143">
        <f>G89+G91</f>
        <v>18689.310000000001</v>
      </c>
      <c r="I88" s="145">
        <f t="shared" si="2"/>
        <v>8.6093382222833838E-3</v>
      </c>
      <c r="J88" s="67"/>
      <c r="K88" s="81"/>
      <c r="L88" s="161"/>
      <c r="N88" s="66"/>
    </row>
    <row r="89" spans="1:14" s="62" customFormat="1" x14ac:dyDescent="0.25">
      <c r="A89" s="32" t="s">
        <v>104</v>
      </c>
      <c r="B89" s="8" t="s">
        <v>510</v>
      </c>
      <c r="C89" s="9"/>
      <c r="D89" s="164"/>
      <c r="E89" s="13"/>
      <c r="G89" s="109">
        <f>G90</f>
        <v>13900.25</v>
      </c>
      <c r="H89" s="67"/>
      <c r="I89" s="146">
        <f>G89/$K$32</f>
        <v>6.4032301687057787E-3</v>
      </c>
      <c r="J89" s="67"/>
      <c r="K89" s="81"/>
      <c r="L89" s="161"/>
      <c r="N89" s="66"/>
    </row>
    <row r="90" spans="1:14" s="62" customFormat="1" x14ac:dyDescent="0.25">
      <c r="A90" s="33" t="s">
        <v>105</v>
      </c>
      <c r="B90" s="10" t="s">
        <v>73</v>
      </c>
      <c r="C90" s="9" t="s">
        <v>57</v>
      </c>
      <c r="D90" s="164">
        <v>455</v>
      </c>
      <c r="E90" s="13">
        <v>30.55</v>
      </c>
      <c r="G90" s="95">
        <v>13900.25</v>
      </c>
      <c r="H90" s="67"/>
      <c r="I90" s="146">
        <f t="shared" ref="I90:I92" si="6">G90/$K$32</f>
        <v>6.4032301687057787E-3</v>
      </c>
      <c r="J90" s="67"/>
      <c r="K90" s="81"/>
      <c r="L90" s="161"/>
      <c r="N90" s="66"/>
    </row>
    <row r="91" spans="1:14" s="62" customFormat="1" x14ac:dyDescent="0.25">
      <c r="A91" s="32" t="s">
        <v>106</v>
      </c>
      <c r="B91" s="8" t="s">
        <v>511</v>
      </c>
      <c r="C91" s="9"/>
      <c r="D91" s="164"/>
      <c r="E91" s="13"/>
      <c r="G91" s="109">
        <f>G92</f>
        <v>4789.0600000000004</v>
      </c>
      <c r="H91" s="67"/>
      <c r="I91" s="146">
        <f t="shared" si="6"/>
        <v>2.2061080535776046E-3</v>
      </c>
      <c r="J91" s="67"/>
      <c r="K91" s="81"/>
      <c r="L91" s="161"/>
      <c r="N91" s="66"/>
    </row>
    <row r="92" spans="1:14" s="62" customFormat="1" ht="26.25" thickBot="1" x14ac:dyDescent="0.3">
      <c r="A92" s="34" t="s">
        <v>107</v>
      </c>
      <c r="B92" s="35" t="s">
        <v>77</v>
      </c>
      <c r="C92" s="36" t="s">
        <v>26</v>
      </c>
      <c r="D92" s="168">
        <v>2.8</v>
      </c>
      <c r="E92" s="37">
        <v>1710.38</v>
      </c>
      <c r="F92" s="157"/>
      <c r="G92" s="96">
        <v>4789.0600000000004</v>
      </c>
      <c r="H92" s="77"/>
      <c r="I92" s="151">
        <f t="shared" si="6"/>
        <v>2.2061080535776046E-3</v>
      </c>
      <c r="J92" s="77"/>
      <c r="K92" s="86"/>
      <c r="L92" s="162"/>
      <c r="N92" s="66"/>
    </row>
    <row r="93" spans="1:14" s="62" customFormat="1" ht="13.5" thickBot="1" x14ac:dyDescent="0.3">
      <c r="A93" s="41"/>
      <c r="B93" s="41"/>
      <c r="C93" s="42"/>
      <c r="D93" s="166"/>
      <c r="E93" s="44"/>
      <c r="G93" s="97"/>
      <c r="I93" s="42"/>
      <c r="K93" s="71"/>
      <c r="L93" s="42"/>
      <c r="N93" s="71"/>
    </row>
    <row r="94" spans="1:14" s="62" customFormat="1" x14ac:dyDescent="0.25">
      <c r="A94" s="25">
        <v>3</v>
      </c>
      <c r="B94" s="26" t="s">
        <v>206</v>
      </c>
      <c r="C94" s="27"/>
      <c r="D94" s="172"/>
      <c r="E94" s="29"/>
      <c r="F94" s="156"/>
      <c r="G94" s="105"/>
      <c r="H94" s="72"/>
      <c r="I94" s="27"/>
      <c r="J94" s="72"/>
      <c r="K94" s="73">
        <f>SUM(H94:H135)</f>
        <v>413458.14986599999</v>
      </c>
      <c r="L94" s="179">
        <v>1</v>
      </c>
      <c r="N94" s="66"/>
    </row>
    <row r="95" spans="1:14" s="62" customFormat="1" x14ac:dyDescent="0.25">
      <c r="A95" s="32" t="s">
        <v>109</v>
      </c>
      <c r="B95" s="8" t="s">
        <v>208</v>
      </c>
      <c r="C95" s="9"/>
      <c r="D95" s="164"/>
      <c r="E95" s="13"/>
      <c r="G95" s="109"/>
      <c r="H95" s="143">
        <f>G96+G98+G100</f>
        <v>203825.03999999998</v>
      </c>
      <c r="I95" s="145">
        <f>H95/$K$94</f>
        <v>0.49297623003938562</v>
      </c>
      <c r="J95" s="67"/>
      <c r="K95" s="68"/>
      <c r="L95" s="173"/>
      <c r="N95" s="66"/>
    </row>
    <row r="96" spans="1:14" s="62" customFormat="1" x14ac:dyDescent="0.25">
      <c r="A96" s="32" t="s">
        <v>110</v>
      </c>
      <c r="B96" s="8" t="s">
        <v>522</v>
      </c>
      <c r="C96" s="9"/>
      <c r="D96" s="164"/>
      <c r="E96" s="13"/>
      <c r="G96" s="109">
        <f>G97</f>
        <v>14602.9</v>
      </c>
      <c r="H96" s="67"/>
      <c r="I96" s="146">
        <f>G96/$K$94</f>
        <v>3.5318931322874482E-2</v>
      </c>
      <c r="J96" s="67"/>
      <c r="K96" s="81"/>
      <c r="L96" s="161"/>
      <c r="N96" s="66"/>
    </row>
    <row r="97" spans="1:14" s="62" customFormat="1" x14ac:dyDescent="0.25">
      <c r="A97" s="33" t="s">
        <v>111</v>
      </c>
      <c r="B97" s="10" t="s">
        <v>73</v>
      </c>
      <c r="C97" s="9" t="s">
        <v>57</v>
      </c>
      <c r="D97" s="164">
        <v>478</v>
      </c>
      <c r="E97" s="13">
        <v>30.55</v>
      </c>
      <c r="G97" s="95">
        <v>14602.9</v>
      </c>
      <c r="H97" s="67"/>
      <c r="I97" s="146">
        <f t="shared" ref="I97:I102" si="7">G97/$K$94</f>
        <v>3.5318931322874482E-2</v>
      </c>
      <c r="J97" s="67"/>
      <c r="K97" s="81"/>
      <c r="L97" s="161"/>
      <c r="N97" s="66"/>
    </row>
    <row r="98" spans="1:14" s="62" customFormat="1" x14ac:dyDescent="0.25">
      <c r="A98" s="32" t="s">
        <v>291</v>
      </c>
      <c r="B98" s="8" t="s">
        <v>521</v>
      </c>
      <c r="C98" s="9"/>
      <c r="D98" s="164"/>
      <c r="E98" s="13"/>
      <c r="G98" s="109">
        <f>G99</f>
        <v>57126.69</v>
      </c>
      <c r="H98" s="67"/>
      <c r="I98" s="146">
        <f t="shared" si="7"/>
        <v>0.13816801051935854</v>
      </c>
      <c r="J98" s="67"/>
      <c r="K98" s="81"/>
      <c r="L98" s="161"/>
      <c r="N98" s="66"/>
    </row>
    <row r="99" spans="1:14" s="62" customFormat="1" ht="25.5" x14ac:dyDescent="0.25">
      <c r="A99" s="33" t="s">
        <v>292</v>
      </c>
      <c r="B99" s="10" t="s">
        <v>77</v>
      </c>
      <c r="C99" s="9" t="s">
        <v>26</v>
      </c>
      <c r="D99" s="164">
        <v>33.4</v>
      </c>
      <c r="E99" s="13">
        <v>1710.38</v>
      </c>
      <c r="G99" s="95">
        <v>57126.69</v>
      </c>
      <c r="H99" s="67"/>
      <c r="I99" s="146">
        <f t="shared" si="7"/>
        <v>0.13816801051935854</v>
      </c>
      <c r="J99" s="67"/>
      <c r="K99" s="81"/>
      <c r="L99" s="161"/>
      <c r="N99" s="66"/>
    </row>
    <row r="100" spans="1:14" s="62" customFormat="1" x14ac:dyDescent="0.25">
      <c r="A100" s="32" t="s">
        <v>512</v>
      </c>
      <c r="B100" s="8" t="s">
        <v>524</v>
      </c>
      <c r="C100" s="9"/>
      <c r="D100" s="164"/>
      <c r="E100" s="13"/>
      <c r="G100" s="109">
        <f>SUM(G101:G102)</f>
        <v>132095.44999999998</v>
      </c>
      <c r="H100" s="67"/>
      <c r="I100" s="146">
        <f t="shared" si="7"/>
        <v>0.31948928819715261</v>
      </c>
      <c r="J100" s="67"/>
      <c r="K100" s="81"/>
      <c r="L100" s="161"/>
      <c r="N100" s="66"/>
    </row>
    <row r="101" spans="1:14" s="62" customFormat="1" x14ac:dyDescent="0.25">
      <c r="A101" s="33" t="s">
        <v>513</v>
      </c>
      <c r="B101" s="10" t="s">
        <v>448</v>
      </c>
      <c r="C101" s="9" t="s">
        <v>57</v>
      </c>
      <c r="D101" s="164">
        <v>624</v>
      </c>
      <c r="E101" s="13">
        <v>206.46</v>
      </c>
      <c r="G101" s="95">
        <v>128831.03999999999</v>
      </c>
      <c r="H101" s="67"/>
      <c r="I101" s="146">
        <f t="shared" si="7"/>
        <v>0.31159390627988243</v>
      </c>
      <c r="J101" s="67"/>
      <c r="K101" s="81"/>
      <c r="L101" s="161"/>
      <c r="N101" s="66"/>
    </row>
    <row r="102" spans="1:14" s="62" customFormat="1" x14ac:dyDescent="0.25">
      <c r="A102" s="33" t="s">
        <v>514</v>
      </c>
      <c r="B102" s="10" t="s">
        <v>450</v>
      </c>
      <c r="C102" s="9" t="s">
        <v>23</v>
      </c>
      <c r="D102" s="164">
        <v>20.78</v>
      </c>
      <c r="E102" s="13">
        <v>157.1</v>
      </c>
      <c r="G102" s="95">
        <v>3264.41</v>
      </c>
      <c r="H102" s="67"/>
      <c r="I102" s="146">
        <f t="shared" si="7"/>
        <v>7.8953819172701781E-3</v>
      </c>
      <c r="J102" s="67"/>
      <c r="K102" s="81"/>
      <c r="L102" s="161"/>
      <c r="N102" s="66"/>
    </row>
    <row r="103" spans="1:14" s="62" customFormat="1" x14ac:dyDescent="0.25">
      <c r="A103" s="32" t="s">
        <v>115</v>
      </c>
      <c r="B103" s="8" t="s">
        <v>215</v>
      </c>
      <c r="C103" s="9"/>
      <c r="D103" s="164"/>
      <c r="E103" s="13"/>
      <c r="G103" s="109"/>
      <c r="H103" s="143">
        <f>G104+G106+G120</f>
        <v>150790.72</v>
      </c>
      <c r="I103" s="145">
        <f t="shared" ref="I103:I126" si="8">H103/$K$94</f>
        <v>0.3647061257563084</v>
      </c>
      <c r="J103" s="67"/>
      <c r="K103" s="81"/>
      <c r="L103" s="161"/>
      <c r="N103" s="66"/>
    </row>
    <row r="104" spans="1:14" s="62" customFormat="1" x14ac:dyDescent="0.25">
      <c r="A104" s="32" t="s">
        <v>116</v>
      </c>
      <c r="B104" s="8" t="s">
        <v>523</v>
      </c>
      <c r="C104" s="9"/>
      <c r="D104" s="164"/>
      <c r="E104" s="13"/>
      <c r="G104" s="109">
        <f>G105</f>
        <v>6373.78</v>
      </c>
      <c r="H104" s="67"/>
      <c r="I104" s="146">
        <f>G104/$K$94</f>
        <v>1.5415780296181644E-2</v>
      </c>
      <c r="J104" s="67"/>
      <c r="K104" s="81"/>
      <c r="L104" s="161"/>
      <c r="N104" s="66"/>
    </row>
    <row r="105" spans="1:14" s="62" customFormat="1" ht="25.5" x14ac:dyDescent="0.25">
      <c r="A105" s="33" t="s">
        <v>117</v>
      </c>
      <c r="B105" s="10" t="s">
        <v>219</v>
      </c>
      <c r="C105" s="9" t="s">
        <v>26</v>
      </c>
      <c r="D105" s="164">
        <v>8.16</v>
      </c>
      <c r="E105" s="13">
        <v>781.1</v>
      </c>
      <c r="G105" s="95">
        <v>6373.78</v>
      </c>
      <c r="H105" s="67"/>
      <c r="I105" s="146">
        <f t="shared" ref="I105:I122" si="9">G105/$K$94</f>
        <v>1.5415780296181644E-2</v>
      </c>
      <c r="J105" s="67"/>
      <c r="K105" s="81"/>
      <c r="L105" s="161"/>
      <c r="N105" s="66"/>
    </row>
    <row r="106" spans="1:14" s="62" customFormat="1" x14ac:dyDescent="0.25">
      <c r="A106" s="32" t="s">
        <v>118</v>
      </c>
      <c r="B106" s="8" t="s">
        <v>520</v>
      </c>
      <c r="C106" s="9"/>
      <c r="D106" s="164"/>
      <c r="E106" s="13"/>
      <c r="G106" s="109">
        <f>SUM(G107:G119)</f>
        <v>111910.20999999999</v>
      </c>
      <c r="H106" s="67"/>
      <c r="I106" s="146">
        <f t="shared" si="9"/>
        <v>0.27066877273133838</v>
      </c>
      <c r="J106" s="67"/>
      <c r="K106" s="81"/>
      <c r="L106" s="161"/>
      <c r="N106" s="66"/>
    </row>
    <row r="107" spans="1:14" s="62" customFormat="1" x14ac:dyDescent="0.25">
      <c r="A107" s="33" t="s">
        <v>120</v>
      </c>
      <c r="B107" s="10" t="s">
        <v>223</v>
      </c>
      <c r="C107" s="9" t="s">
        <v>26</v>
      </c>
      <c r="D107" s="164">
        <v>9.1999999999999993</v>
      </c>
      <c r="E107" s="13">
        <v>89.09</v>
      </c>
      <c r="G107" s="95">
        <v>819.63</v>
      </c>
      <c r="H107" s="67"/>
      <c r="I107" s="146">
        <f t="shared" si="9"/>
        <v>1.9823771771475263E-3</v>
      </c>
      <c r="J107" s="67"/>
      <c r="K107" s="81"/>
      <c r="L107" s="161"/>
      <c r="N107" s="66"/>
    </row>
    <row r="108" spans="1:14" s="62" customFormat="1" x14ac:dyDescent="0.25">
      <c r="A108" s="33" t="s">
        <v>122</v>
      </c>
      <c r="B108" s="10" t="s">
        <v>225</v>
      </c>
      <c r="C108" s="9" t="s">
        <v>20</v>
      </c>
      <c r="D108" s="164">
        <v>4.5999999999999996</v>
      </c>
      <c r="E108" s="13">
        <v>39.33</v>
      </c>
      <c r="G108" s="95">
        <v>180.92</v>
      </c>
      <c r="H108" s="67"/>
      <c r="I108" s="146">
        <f t="shared" si="9"/>
        <v>4.3757753973076933E-4</v>
      </c>
      <c r="J108" s="67"/>
      <c r="K108" s="81"/>
      <c r="L108" s="161"/>
      <c r="N108" s="66"/>
    </row>
    <row r="109" spans="1:14" s="62" customFormat="1" x14ac:dyDescent="0.25">
      <c r="A109" s="33" t="s">
        <v>124</v>
      </c>
      <c r="B109" s="10" t="s">
        <v>65</v>
      </c>
      <c r="C109" s="9" t="s">
        <v>42</v>
      </c>
      <c r="D109" s="164">
        <v>552</v>
      </c>
      <c r="E109" s="13">
        <v>11.15</v>
      </c>
      <c r="G109" s="95">
        <v>6154.8</v>
      </c>
      <c r="H109" s="67"/>
      <c r="I109" s="146">
        <f t="shared" si="9"/>
        <v>1.4886149908992589E-2</v>
      </c>
      <c r="J109" s="67"/>
      <c r="K109" s="81"/>
      <c r="L109" s="161"/>
      <c r="N109" s="66"/>
    </row>
    <row r="110" spans="1:14" s="62" customFormat="1" x14ac:dyDescent="0.25">
      <c r="A110" s="33" t="s">
        <v>298</v>
      </c>
      <c r="B110" s="10" t="s">
        <v>228</v>
      </c>
      <c r="C110" s="9" t="s">
        <v>26</v>
      </c>
      <c r="D110" s="164">
        <v>9.1999999999999993</v>
      </c>
      <c r="E110" s="13">
        <v>875.73</v>
      </c>
      <c r="G110" s="95">
        <v>8056.72</v>
      </c>
      <c r="H110" s="67"/>
      <c r="I110" s="146">
        <f t="shared" si="9"/>
        <v>1.9486180167475591E-2</v>
      </c>
      <c r="J110" s="67"/>
      <c r="K110" s="81"/>
      <c r="L110" s="161"/>
      <c r="N110" s="66"/>
    </row>
    <row r="111" spans="1:14" s="62" customFormat="1" ht="25.5" x14ac:dyDescent="0.25">
      <c r="A111" s="33" t="s">
        <v>299</v>
      </c>
      <c r="B111" s="10" t="s">
        <v>230</v>
      </c>
      <c r="C111" s="9" t="s">
        <v>20</v>
      </c>
      <c r="D111" s="164">
        <v>31.74</v>
      </c>
      <c r="E111" s="13">
        <v>151.13</v>
      </c>
      <c r="G111" s="95">
        <v>4796.87</v>
      </c>
      <c r="H111" s="67"/>
      <c r="I111" s="146">
        <f t="shared" si="9"/>
        <v>1.1601827177804199E-2</v>
      </c>
      <c r="J111" s="67"/>
      <c r="K111" s="81"/>
      <c r="L111" s="161"/>
      <c r="N111" s="66"/>
    </row>
    <row r="112" spans="1:14" s="62" customFormat="1" x14ac:dyDescent="0.25">
      <c r="A112" s="33" t="s">
        <v>300</v>
      </c>
      <c r="B112" s="10" t="s">
        <v>232</v>
      </c>
      <c r="C112" s="9" t="s">
        <v>20</v>
      </c>
      <c r="D112" s="164">
        <v>22.08</v>
      </c>
      <c r="E112" s="13">
        <v>51.45</v>
      </c>
      <c r="G112" s="95">
        <v>1136.02</v>
      </c>
      <c r="H112" s="67"/>
      <c r="I112" s="146">
        <f t="shared" si="9"/>
        <v>2.7476057742922208E-3</v>
      </c>
      <c r="J112" s="67"/>
      <c r="K112" s="81"/>
      <c r="L112" s="161"/>
      <c r="N112" s="66"/>
    </row>
    <row r="113" spans="1:14" s="62" customFormat="1" x14ac:dyDescent="0.25">
      <c r="A113" s="33" t="s">
        <v>301</v>
      </c>
      <c r="B113" s="10" t="s">
        <v>234</v>
      </c>
      <c r="C113" s="9" t="s">
        <v>20</v>
      </c>
      <c r="D113" s="164">
        <v>75.900000000000006</v>
      </c>
      <c r="E113" s="13">
        <v>56.18</v>
      </c>
      <c r="G113" s="95">
        <v>4264.0600000000004</v>
      </c>
      <c r="H113" s="67"/>
      <c r="I113" s="146">
        <f t="shared" si="9"/>
        <v>1.0313159872122399E-2</v>
      </c>
      <c r="J113" s="67"/>
      <c r="K113" s="81"/>
      <c r="L113" s="161"/>
      <c r="N113" s="66"/>
    </row>
    <row r="114" spans="1:14" s="62" customFormat="1" x14ac:dyDescent="0.25">
      <c r="A114" s="33" t="s">
        <v>302</v>
      </c>
      <c r="B114" s="10" t="s">
        <v>236</v>
      </c>
      <c r="C114" s="9" t="s">
        <v>42</v>
      </c>
      <c r="D114" s="164">
        <v>1155.52</v>
      </c>
      <c r="E114" s="13">
        <v>14.93</v>
      </c>
      <c r="G114" s="95">
        <v>17251.91</v>
      </c>
      <c r="H114" s="67"/>
      <c r="I114" s="146">
        <f t="shared" si="9"/>
        <v>4.1725891739203276E-2</v>
      </c>
      <c r="J114" s="67"/>
      <c r="K114" s="81"/>
      <c r="L114" s="161"/>
      <c r="N114" s="66"/>
    </row>
    <row r="115" spans="1:14" s="62" customFormat="1" x14ac:dyDescent="0.25">
      <c r="A115" s="33" t="s">
        <v>303</v>
      </c>
      <c r="B115" s="10" t="s">
        <v>238</v>
      </c>
      <c r="C115" s="9" t="s">
        <v>42</v>
      </c>
      <c r="D115" s="164">
        <v>1011.08</v>
      </c>
      <c r="E115" s="13">
        <v>14.32</v>
      </c>
      <c r="G115" s="95">
        <v>14478.67</v>
      </c>
      <c r="H115" s="67"/>
      <c r="I115" s="146">
        <f t="shared" si="9"/>
        <v>3.5018465604541776E-2</v>
      </c>
      <c r="J115" s="67"/>
      <c r="K115" s="81"/>
      <c r="L115" s="161"/>
      <c r="N115" s="66"/>
    </row>
    <row r="116" spans="1:14" s="62" customFormat="1" x14ac:dyDescent="0.25">
      <c r="A116" s="33" t="s">
        <v>304</v>
      </c>
      <c r="B116" s="10" t="s">
        <v>240</v>
      </c>
      <c r="C116" s="9" t="s">
        <v>42</v>
      </c>
      <c r="D116" s="164">
        <v>722.2</v>
      </c>
      <c r="E116" s="13">
        <v>10.039999999999999</v>
      </c>
      <c r="G116" s="95">
        <v>7250.89</v>
      </c>
      <c r="H116" s="67"/>
      <c r="I116" s="146">
        <f t="shared" si="9"/>
        <v>1.7537180008061232E-2</v>
      </c>
      <c r="J116" s="67"/>
      <c r="K116" s="81"/>
      <c r="L116" s="161"/>
      <c r="N116" s="66"/>
    </row>
    <row r="117" spans="1:14" s="62" customFormat="1" x14ac:dyDescent="0.25">
      <c r="A117" s="33" t="s">
        <v>305</v>
      </c>
      <c r="B117" s="10" t="s">
        <v>242</v>
      </c>
      <c r="C117" s="9" t="s">
        <v>26</v>
      </c>
      <c r="D117" s="164">
        <v>1.84</v>
      </c>
      <c r="E117" s="13">
        <v>805.4</v>
      </c>
      <c r="G117" s="95">
        <v>1481.94</v>
      </c>
      <c r="H117" s="67"/>
      <c r="I117" s="146">
        <f t="shared" si="9"/>
        <v>3.5842563521369464E-3</v>
      </c>
      <c r="J117" s="67"/>
      <c r="K117" s="81"/>
      <c r="L117" s="161"/>
      <c r="N117" s="66"/>
    </row>
    <row r="118" spans="1:14" s="62" customFormat="1" ht="25.5" x14ac:dyDescent="0.25">
      <c r="A118" s="33" t="s">
        <v>306</v>
      </c>
      <c r="B118" s="10" t="s">
        <v>244</v>
      </c>
      <c r="C118" s="9" t="s">
        <v>26</v>
      </c>
      <c r="D118" s="164">
        <v>42.78</v>
      </c>
      <c r="E118" s="13">
        <v>641.98</v>
      </c>
      <c r="G118" s="95">
        <v>27463.9</v>
      </c>
      <c r="H118" s="67"/>
      <c r="I118" s="146">
        <f t="shared" si="9"/>
        <v>6.6424860675502309E-2</v>
      </c>
      <c r="J118" s="67"/>
      <c r="K118" s="81"/>
      <c r="L118" s="161"/>
      <c r="N118" s="66"/>
    </row>
    <row r="119" spans="1:14" s="62" customFormat="1" x14ac:dyDescent="0.25">
      <c r="A119" s="33" t="s">
        <v>307</v>
      </c>
      <c r="B119" s="10" t="s">
        <v>246</v>
      </c>
      <c r="C119" s="9" t="s">
        <v>57</v>
      </c>
      <c r="D119" s="164">
        <v>92</v>
      </c>
      <c r="E119" s="13">
        <v>201.89</v>
      </c>
      <c r="G119" s="95">
        <v>18573.88</v>
      </c>
      <c r="H119" s="67"/>
      <c r="I119" s="146">
        <f t="shared" si="9"/>
        <v>4.492324073432756E-2</v>
      </c>
      <c r="J119" s="67"/>
      <c r="K119" s="81"/>
      <c r="L119" s="161"/>
      <c r="N119" s="66"/>
    </row>
    <row r="120" spans="1:14" s="62" customFormat="1" x14ac:dyDescent="0.25">
      <c r="A120" s="32" t="s">
        <v>309</v>
      </c>
      <c r="B120" s="8" t="s">
        <v>525</v>
      </c>
      <c r="C120" s="9"/>
      <c r="D120" s="164"/>
      <c r="E120" s="13"/>
      <c r="G120" s="109">
        <f>SUM(G121:G122)</f>
        <v>32506.73</v>
      </c>
      <c r="H120" s="67"/>
      <c r="I120" s="146">
        <f t="shared" si="9"/>
        <v>7.8621572728788364E-2</v>
      </c>
      <c r="J120" s="67"/>
      <c r="K120" s="81"/>
      <c r="L120" s="161"/>
      <c r="N120" s="66"/>
    </row>
    <row r="121" spans="1:14" s="62" customFormat="1" ht="25.5" x14ac:dyDescent="0.25">
      <c r="A121" s="33" t="s">
        <v>310</v>
      </c>
      <c r="B121" s="10" t="s">
        <v>250</v>
      </c>
      <c r="C121" s="9" t="s">
        <v>26</v>
      </c>
      <c r="D121" s="164">
        <v>7.5</v>
      </c>
      <c r="E121" s="13">
        <v>3911.67</v>
      </c>
      <c r="G121" s="95">
        <v>29337.53</v>
      </c>
      <c r="H121" s="67"/>
      <c r="I121" s="146">
        <f t="shared" si="9"/>
        <v>7.095646804763231E-2</v>
      </c>
      <c r="J121" s="67"/>
      <c r="K121" s="81"/>
      <c r="L121" s="161"/>
      <c r="N121" s="66"/>
    </row>
    <row r="122" spans="1:14" s="62" customFormat="1" x14ac:dyDescent="0.25">
      <c r="A122" s="33" t="s">
        <v>316</v>
      </c>
      <c r="B122" s="10" t="s">
        <v>252</v>
      </c>
      <c r="C122" s="9" t="s">
        <v>57</v>
      </c>
      <c r="D122" s="164">
        <v>30</v>
      </c>
      <c r="E122" s="13">
        <v>105.64</v>
      </c>
      <c r="G122" s="95">
        <v>3169.2</v>
      </c>
      <c r="H122" s="67"/>
      <c r="I122" s="146">
        <f t="shared" si="9"/>
        <v>7.6651046811560585E-3</v>
      </c>
      <c r="J122" s="67"/>
      <c r="K122" s="81"/>
      <c r="L122" s="161"/>
      <c r="N122" s="66"/>
    </row>
    <row r="123" spans="1:14" s="62" customFormat="1" x14ac:dyDescent="0.25">
      <c r="A123" s="32" t="s">
        <v>126</v>
      </c>
      <c r="B123" s="8" t="s">
        <v>254</v>
      </c>
      <c r="C123" s="9"/>
      <c r="D123" s="164"/>
      <c r="E123" s="13"/>
      <c r="G123" s="109"/>
      <c r="H123" s="143">
        <f>G124</f>
        <v>21560.76</v>
      </c>
      <c r="I123" s="145">
        <f t="shared" si="8"/>
        <v>5.2147381801490061E-2</v>
      </c>
      <c r="J123" s="67"/>
      <c r="K123" s="81"/>
      <c r="L123" s="161"/>
      <c r="N123" s="66"/>
    </row>
    <row r="124" spans="1:14" s="62" customFormat="1" x14ac:dyDescent="0.25">
      <c r="A124" s="32" t="s">
        <v>127</v>
      </c>
      <c r="B124" s="8" t="s">
        <v>526</v>
      </c>
      <c r="C124" s="9"/>
      <c r="D124" s="164"/>
      <c r="E124" s="13"/>
      <c r="G124" s="109">
        <f>G125</f>
        <v>21560.76</v>
      </c>
      <c r="H124" s="67"/>
      <c r="I124" s="146">
        <f>G124/$K$94</f>
        <v>5.2147381801490061E-2</v>
      </c>
      <c r="J124" s="67"/>
      <c r="K124" s="81"/>
      <c r="L124" s="161"/>
      <c r="N124" s="66"/>
    </row>
    <row r="125" spans="1:14" s="62" customFormat="1" x14ac:dyDescent="0.25">
      <c r="A125" s="33" t="s">
        <v>128</v>
      </c>
      <c r="B125" s="10" t="s">
        <v>258</v>
      </c>
      <c r="C125" s="9" t="s">
        <v>57</v>
      </c>
      <c r="D125" s="164">
        <v>306</v>
      </c>
      <c r="E125" s="13">
        <v>70.459999999999994</v>
      </c>
      <c r="G125" s="95">
        <v>21560.76</v>
      </c>
      <c r="H125" s="67"/>
      <c r="I125" s="146">
        <f>G125/$K$94</f>
        <v>5.2147381801490061E-2</v>
      </c>
      <c r="J125" s="67"/>
      <c r="K125" s="81"/>
      <c r="L125" s="161"/>
      <c r="N125" s="66"/>
    </row>
    <row r="126" spans="1:14" s="62" customFormat="1" x14ac:dyDescent="0.25">
      <c r="A126" s="32" t="s">
        <v>515</v>
      </c>
      <c r="B126" s="8" t="s">
        <v>260</v>
      </c>
      <c r="C126" s="9"/>
      <c r="D126" s="164"/>
      <c r="E126" s="13"/>
      <c r="G126" s="109"/>
      <c r="H126" s="143">
        <f>G127+G129</f>
        <v>11224</v>
      </c>
      <c r="I126" s="145">
        <f t="shared" si="8"/>
        <v>2.7146641089642688E-2</v>
      </c>
      <c r="J126" s="67"/>
      <c r="K126" s="81"/>
      <c r="L126" s="161"/>
      <c r="N126" s="66"/>
    </row>
    <row r="127" spans="1:14" s="62" customFormat="1" x14ac:dyDescent="0.25">
      <c r="A127" s="32" t="s">
        <v>516</v>
      </c>
      <c r="B127" s="8" t="s">
        <v>527</v>
      </c>
      <c r="C127" s="9"/>
      <c r="D127" s="164"/>
      <c r="E127" s="13"/>
      <c r="G127" s="109">
        <f>G128</f>
        <v>7000</v>
      </c>
      <c r="H127" s="67"/>
      <c r="I127" s="146">
        <f>G127/$K$94</f>
        <v>1.6930371313925413E-2</v>
      </c>
      <c r="J127" s="67"/>
      <c r="K127" s="81"/>
      <c r="L127" s="161"/>
      <c r="N127" s="66"/>
    </row>
    <row r="128" spans="1:14" s="62" customFormat="1" x14ac:dyDescent="0.25">
      <c r="A128" s="33" t="s">
        <v>517</v>
      </c>
      <c r="B128" s="10" t="s">
        <v>264</v>
      </c>
      <c r="C128" s="9" t="s">
        <v>23</v>
      </c>
      <c r="D128" s="164">
        <v>14</v>
      </c>
      <c r="E128" s="13">
        <v>500</v>
      </c>
      <c r="G128" s="95">
        <v>7000</v>
      </c>
      <c r="H128" s="67"/>
      <c r="I128" s="146">
        <f t="shared" ref="I128:I135" si="10">G128/$K$94</f>
        <v>1.6930371313925413E-2</v>
      </c>
      <c r="J128" s="67"/>
      <c r="K128" s="81"/>
      <c r="L128" s="161"/>
      <c r="N128" s="66"/>
    </row>
    <row r="129" spans="1:15" s="62" customFormat="1" x14ac:dyDescent="0.25">
      <c r="A129" s="32" t="s">
        <v>518</v>
      </c>
      <c r="B129" s="8" t="s">
        <v>528</v>
      </c>
      <c r="C129" s="9"/>
      <c r="D129" s="164"/>
      <c r="E129" s="13"/>
      <c r="G129" s="109">
        <f>G130</f>
        <v>4224</v>
      </c>
      <c r="H129" s="67"/>
      <c r="I129" s="146">
        <f t="shared" si="10"/>
        <v>1.0216269775717277E-2</v>
      </c>
      <c r="J129" s="67"/>
      <c r="K129" s="81"/>
      <c r="L129" s="161"/>
      <c r="N129" s="66"/>
    </row>
    <row r="130" spans="1:15" s="62" customFormat="1" x14ac:dyDescent="0.25">
      <c r="A130" s="40" t="s">
        <v>519</v>
      </c>
      <c r="B130" s="22" t="s">
        <v>268</v>
      </c>
      <c r="C130" s="23" t="s">
        <v>23</v>
      </c>
      <c r="D130" s="165">
        <v>3</v>
      </c>
      <c r="E130" s="24">
        <v>1408</v>
      </c>
      <c r="G130" s="153">
        <v>4224</v>
      </c>
      <c r="H130" s="70"/>
      <c r="I130" s="154">
        <f t="shared" si="10"/>
        <v>1.0216269775717277E-2</v>
      </c>
      <c r="J130" s="70"/>
      <c r="K130" s="155"/>
      <c r="L130" s="216"/>
      <c r="N130" s="66"/>
    </row>
    <row r="131" spans="1:15" s="62" customFormat="1" x14ac:dyDescent="0.25">
      <c r="A131" s="32" t="s">
        <v>757</v>
      </c>
      <c r="B131" s="8" t="s">
        <v>17</v>
      </c>
      <c r="C131" s="9"/>
      <c r="D131" s="89"/>
      <c r="E131" s="13"/>
      <c r="F131" s="67"/>
      <c r="G131" s="109"/>
      <c r="H131" s="143">
        <f>SUM(G132:G135)</f>
        <v>26057.629865999996</v>
      </c>
      <c r="I131" s="145">
        <f>H131/$K$94</f>
        <v>6.3023621313173198E-2</v>
      </c>
      <c r="J131" s="67"/>
      <c r="K131" s="81"/>
      <c r="L131" s="161"/>
      <c r="N131" s="66"/>
      <c r="O131" s="65"/>
    </row>
    <row r="132" spans="1:15" s="62" customFormat="1" x14ac:dyDescent="0.25">
      <c r="A132" s="33" t="s">
        <v>760</v>
      </c>
      <c r="B132" s="10" t="s">
        <v>19</v>
      </c>
      <c r="C132" s="9" t="s">
        <v>20</v>
      </c>
      <c r="D132" s="164">
        <v>1000</v>
      </c>
      <c r="E132" s="13">
        <v>4.38</v>
      </c>
      <c r="F132" s="67"/>
      <c r="G132" s="95">
        <f>D132*E132</f>
        <v>4380</v>
      </c>
      <c r="H132" s="67"/>
      <c r="I132" s="154">
        <f t="shared" si="10"/>
        <v>1.0593575193570471E-2</v>
      </c>
      <c r="J132" s="67"/>
      <c r="K132" s="81"/>
      <c r="L132" s="161"/>
      <c r="N132" s="66"/>
    </row>
    <row r="133" spans="1:15" s="62" customFormat="1" x14ac:dyDescent="0.25">
      <c r="A133" s="33" t="s">
        <v>758</v>
      </c>
      <c r="B133" s="10" t="s">
        <v>22</v>
      </c>
      <c r="C133" s="9" t="s">
        <v>23</v>
      </c>
      <c r="D133" s="164">
        <v>15</v>
      </c>
      <c r="E133" s="13">
        <v>217.25</v>
      </c>
      <c r="F133" s="67"/>
      <c r="G133" s="95">
        <f t="shared" ref="G133:G135" si="11">D133*E133</f>
        <v>3258.75</v>
      </c>
      <c r="H133" s="67"/>
      <c r="I133" s="154">
        <f t="shared" si="10"/>
        <v>7.8816925027506337E-3</v>
      </c>
      <c r="J133" s="67"/>
      <c r="K133" s="81"/>
      <c r="L133" s="161"/>
      <c r="N133" s="66"/>
    </row>
    <row r="134" spans="1:15" s="62" customFormat="1" x14ac:dyDescent="0.25">
      <c r="A134" s="33" t="s">
        <v>759</v>
      </c>
      <c r="B134" s="10" t="s">
        <v>25</v>
      </c>
      <c r="C134" s="9" t="s">
        <v>26</v>
      </c>
      <c r="D134" s="164">
        <v>348.85289999999998</v>
      </c>
      <c r="E134" s="13">
        <v>17.54</v>
      </c>
      <c r="F134" s="67"/>
      <c r="G134" s="95">
        <f t="shared" si="11"/>
        <v>6118.8798659999993</v>
      </c>
      <c r="H134" s="67"/>
      <c r="I134" s="154">
        <f t="shared" si="10"/>
        <v>1.4799272593811736E-2</v>
      </c>
      <c r="J134" s="67"/>
      <c r="K134" s="81"/>
      <c r="L134" s="161"/>
      <c r="N134" s="66"/>
    </row>
    <row r="135" spans="1:15" s="62" customFormat="1" ht="13.5" thickBot="1" x14ac:dyDescent="0.3">
      <c r="A135" s="34" t="s">
        <v>761</v>
      </c>
      <c r="B135" s="35" t="s">
        <v>28</v>
      </c>
      <c r="C135" s="36" t="s">
        <v>29</v>
      </c>
      <c r="D135" s="168">
        <v>6000</v>
      </c>
      <c r="E135" s="37">
        <v>2.0499999999999998</v>
      </c>
      <c r="F135" s="77"/>
      <c r="G135" s="96">
        <f t="shared" si="11"/>
        <v>12299.999999999998</v>
      </c>
      <c r="H135" s="77"/>
      <c r="I135" s="151">
        <f t="shared" si="10"/>
        <v>2.9749081023040361E-2</v>
      </c>
      <c r="J135" s="77"/>
      <c r="K135" s="86"/>
      <c r="L135" s="162"/>
      <c r="N135" s="66"/>
    </row>
    <row r="136" spans="1:15" x14ac:dyDescent="0.2">
      <c r="G136" s="170"/>
      <c r="K136" s="171"/>
      <c r="N136" s="171"/>
    </row>
    <row r="138" spans="1:15" s="7" customFormat="1" ht="15" x14ac:dyDescent="0.25">
      <c r="A138" s="11"/>
      <c r="B138" s="98" t="s">
        <v>271</v>
      </c>
      <c r="C138" s="9"/>
      <c r="D138" s="99"/>
      <c r="E138" s="95"/>
      <c r="G138" s="277">
        <f>SUM(K5:K92)</f>
        <v>2630356.3103551003</v>
      </c>
      <c r="H138" s="277"/>
      <c r="I138" s="277"/>
      <c r="J138" s="277"/>
      <c r="K138" s="277"/>
      <c r="L138" s="163">
        <v>1</v>
      </c>
      <c r="N138" s="64"/>
    </row>
    <row r="139" spans="1:15" s="7" customFormat="1" ht="15" x14ac:dyDescent="0.25">
      <c r="A139" s="18"/>
      <c r="B139" s="98" t="s">
        <v>272</v>
      </c>
      <c r="C139" s="18"/>
      <c r="D139" s="144"/>
      <c r="E139" s="132"/>
      <c r="G139" s="277">
        <f>K94</f>
        <v>413458.14986599999</v>
      </c>
      <c r="H139" s="277"/>
      <c r="I139" s="277"/>
      <c r="J139" s="277"/>
      <c r="K139" s="277"/>
      <c r="L139" s="163">
        <v>1</v>
      </c>
      <c r="N139" s="64"/>
    </row>
    <row r="140" spans="1:15" s="7" customFormat="1" ht="15" x14ac:dyDescent="0.25">
      <c r="A140" s="18"/>
      <c r="B140" s="98" t="s">
        <v>270</v>
      </c>
      <c r="C140" s="18"/>
      <c r="D140" s="144"/>
      <c r="E140" s="132"/>
      <c r="G140" s="277">
        <f>G138+G139</f>
        <v>3043814.4602211001</v>
      </c>
      <c r="H140" s="277"/>
      <c r="I140" s="277"/>
      <c r="J140" s="277"/>
      <c r="K140" s="277"/>
      <c r="L140" s="126"/>
      <c r="N140" s="64"/>
    </row>
  </sheetData>
  <mergeCells count="5">
    <mergeCell ref="G3:L3"/>
    <mergeCell ref="G4:H4"/>
    <mergeCell ref="G138:K138"/>
    <mergeCell ref="G139:K139"/>
    <mergeCell ref="G140:K140"/>
  </mergeCells>
  <pageMargins left="0.511811024" right="0.511811024" top="0.78740157499999996" bottom="0.78740157499999996" header="0.31496062000000002" footer="0.31496062000000002"/>
  <pageSetup paperSize="8" scale="78" fitToHeight="0" orientation="landscape" horizontalDpi="1200" verticalDpi="1200" r:id="rId1"/>
  <ignoredErrors>
    <ignoredError sqref="I28 I12 I46 I88 I126 I123 I103 G64 I13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25884-D968-40FE-818A-6DF7EDD008C1}">
  <sheetPr>
    <pageSetUpPr fitToPage="1"/>
  </sheetPr>
  <dimension ref="A1:O63"/>
  <sheetViews>
    <sheetView workbookViewId="0">
      <pane ySplit="4" topLeftCell="A14" activePane="bottomLeft" state="frozen"/>
      <selection pane="bottomLeft" activeCell="B67" sqref="B67"/>
    </sheetView>
  </sheetViews>
  <sheetFormatPr defaultColWidth="9.140625" defaultRowHeight="12.75" x14ac:dyDescent="0.25"/>
  <cols>
    <col min="1" max="1" width="18.7109375" style="63" customWidth="1"/>
    <col min="2" max="2" width="125.42578125" style="41" customWidth="1"/>
    <col min="3" max="3" width="6.7109375" style="42" customWidth="1"/>
    <col min="4" max="4" width="10.7109375" style="43" customWidth="1"/>
    <col min="5" max="5" width="16.7109375" style="61" customWidth="1"/>
    <col min="6" max="6" width="2.140625" style="62" customWidth="1"/>
    <col min="7" max="7" width="19" style="62" customWidth="1"/>
    <col min="8" max="8" width="15.140625" style="62" customWidth="1"/>
    <col min="9" max="9" width="17.140625" style="42" customWidth="1"/>
    <col min="10" max="10" width="1.5703125" style="62" customWidth="1"/>
    <col min="11" max="11" width="19.140625" style="62" customWidth="1"/>
    <col min="12" max="13" width="9.140625" style="62"/>
    <col min="14" max="14" width="14.140625" style="66" bestFit="1" customWidth="1"/>
    <col min="15" max="15" width="13.140625" style="62" bestFit="1" customWidth="1"/>
    <col min="16" max="16384" width="9.140625" style="62"/>
  </cols>
  <sheetData>
    <row r="1" spans="1:15" x14ac:dyDescent="0.25">
      <c r="A1" s="59" t="s">
        <v>4</v>
      </c>
    </row>
    <row r="3" spans="1:15" x14ac:dyDescent="0.25">
      <c r="A3" s="59" t="s">
        <v>529</v>
      </c>
      <c r="G3" s="294" t="s">
        <v>11</v>
      </c>
      <c r="H3" s="294"/>
      <c r="I3" s="294"/>
      <c r="J3" s="294"/>
      <c r="K3" s="294"/>
      <c r="L3" s="294"/>
    </row>
    <row r="4" spans="1:15" ht="13.5" thickBot="1" x14ac:dyDescent="0.3">
      <c r="A4" s="46" t="s">
        <v>6</v>
      </c>
      <c r="B4" s="47" t="s">
        <v>7</v>
      </c>
      <c r="C4" s="46" t="s">
        <v>8</v>
      </c>
      <c r="D4" s="48" t="s">
        <v>9</v>
      </c>
      <c r="E4" s="178" t="s">
        <v>10</v>
      </c>
      <c r="G4" s="295" t="s">
        <v>273</v>
      </c>
      <c r="H4" s="296"/>
      <c r="I4" s="104" t="s">
        <v>275</v>
      </c>
      <c r="J4" s="141"/>
      <c r="K4" s="93" t="s">
        <v>274</v>
      </c>
      <c r="L4" s="104" t="s">
        <v>12</v>
      </c>
    </row>
    <row r="5" spans="1:15" x14ac:dyDescent="0.25">
      <c r="A5" s="25">
        <v>1</v>
      </c>
      <c r="B5" s="26" t="s">
        <v>13</v>
      </c>
      <c r="C5" s="27"/>
      <c r="D5" s="172"/>
      <c r="E5" s="29"/>
      <c r="F5" s="156"/>
      <c r="G5" s="120"/>
      <c r="H5" s="72"/>
      <c r="I5" s="27"/>
      <c r="J5" s="72"/>
      <c r="K5" s="73">
        <f>SUM(H5:H37)</f>
        <v>800252.69177600008</v>
      </c>
      <c r="L5" s="179">
        <v>1</v>
      </c>
      <c r="O5" s="65"/>
    </row>
    <row r="6" spans="1:15" x14ac:dyDescent="0.25">
      <c r="A6" s="32" t="s">
        <v>14</v>
      </c>
      <c r="B6" s="8" t="s">
        <v>15</v>
      </c>
      <c r="C6" s="9"/>
      <c r="D6" s="164"/>
      <c r="E6" s="13"/>
      <c r="G6" s="126"/>
      <c r="H6" s="143">
        <f>G7+G12</f>
        <v>18665.827000000001</v>
      </c>
      <c r="I6" s="145">
        <f>H6/$K$5</f>
        <v>2.3324916231865396E-2</v>
      </c>
      <c r="J6" s="67"/>
      <c r="K6" s="67"/>
      <c r="L6" s="180"/>
    </row>
    <row r="7" spans="1:15" x14ac:dyDescent="0.25">
      <c r="A7" s="32" t="s">
        <v>16</v>
      </c>
      <c r="B7" s="8" t="s">
        <v>17</v>
      </c>
      <c r="C7" s="9"/>
      <c r="D7" s="164"/>
      <c r="E7" s="13"/>
      <c r="G7" s="126">
        <f>SUM(G8:G11)</f>
        <v>11897.07</v>
      </c>
      <c r="H7" s="67"/>
      <c r="I7" s="146">
        <f>G7/$K$5</f>
        <v>1.4866641652397124E-2</v>
      </c>
      <c r="J7" s="67"/>
      <c r="K7" s="67"/>
      <c r="L7" s="180"/>
    </row>
    <row r="8" spans="1:15" x14ac:dyDescent="0.25">
      <c r="A8" s="33" t="s">
        <v>18</v>
      </c>
      <c r="B8" s="10" t="s">
        <v>19</v>
      </c>
      <c r="C8" s="9" t="s">
        <v>20</v>
      </c>
      <c r="D8" s="164">
        <v>342</v>
      </c>
      <c r="E8" s="13">
        <v>5.55</v>
      </c>
      <c r="G8" s="175">
        <v>1898.1</v>
      </c>
      <c r="H8" s="67"/>
      <c r="I8" s="146">
        <f t="shared" ref="I8:I18" si="0">G8/$K$5</f>
        <v>2.3718758081119956E-3</v>
      </c>
      <c r="J8" s="67"/>
      <c r="K8" s="67"/>
      <c r="L8" s="180"/>
    </row>
    <row r="9" spans="1:15" x14ac:dyDescent="0.25">
      <c r="A9" s="33" t="s">
        <v>21</v>
      </c>
      <c r="B9" s="10" t="s">
        <v>22</v>
      </c>
      <c r="C9" s="9" t="s">
        <v>23</v>
      </c>
      <c r="D9" s="164">
        <v>8.5500000000000007</v>
      </c>
      <c r="E9" s="13">
        <v>275.47000000000003</v>
      </c>
      <c r="G9" s="175">
        <v>2355.27</v>
      </c>
      <c r="H9" s="67"/>
      <c r="I9" s="146">
        <f t="shared" si="0"/>
        <v>2.9431578602665508E-3</v>
      </c>
      <c r="J9" s="67"/>
      <c r="K9" s="67"/>
      <c r="L9" s="180"/>
    </row>
    <row r="10" spans="1:15" x14ac:dyDescent="0.25">
      <c r="A10" s="33" t="s">
        <v>24</v>
      </c>
      <c r="B10" s="10" t="s">
        <v>25</v>
      </c>
      <c r="C10" s="9" t="s">
        <v>26</v>
      </c>
      <c r="D10" s="164">
        <v>102.6</v>
      </c>
      <c r="E10" s="13">
        <v>22.24</v>
      </c>
      <c r="G10" s="175">
        <v>2281.8200000000002</v>
      </c>
      <c r="H10" s="67"/>
      <c r="I10" s="146">
        <f t="shared" si="0"/>
        <v>2.8513743514388674E-3</v>
      </c>
      <c r="J10" s="67"/>
      <c r="K10" s="67"/>
      <c r="L10" s="180"/>
    </row>
    <row r="11" spans="1:15" x14ac:dyDescent="0.25">
      <c r="A11" s="33" t="s">
        <v>27</v>
      </c>
      <c r="B11" s="10" t="s">
        <v>28</v>
      </c>
      <c r="C11" s="9" t="s">
        <v>29</v>
      </c>
      <c r="D11" s="164">
        <v>2062.2600000000002</v>
      </c>
      <c r="E11" s="13">
        <v>2.6</v>
      </c>
      <c r="G11" s="175">
        <v>5361.88</v>
      </c>
      <c r="H11" s="67"/>
      <c r="I11" s="146">
        <f t="shared" si="0"/>
        <v>6.7002336325797099E-3</v>
      </c>
      <c r="J11" s="67"/>
      <c r="K11" s="67"/>
      <c r="L11" s="180"/>
    </row>
    <row r="12" spans="1:15" x14ac:dyDescent="0.25">
      <c r="A12" s="32" t="s">
        <v>397</v>
      </c>
      <c r="B12" s="8" t="s">
        <v>279</v>
      </c>
      <c r="C12" s="9"/>
      <c r="D12" s="164"/>
      <c r="E12" s="13"/>
      <c r="G12" s="126">
        <f>SUM(G13:G18)</f>
        <v>6768.7570000000005</v>
      </c>
      <c r="H12" s="67"/>
      <c r="I12" s="146">
        <f t="shared" si="0"/>
        <v>8.4582745794682737E-3</v>
      </c>
      <c r="J12" s="67"/>
      <c r="K12" s="67"/>
      <c r="L12" s="180"/>
    </row>
    <row r="13" spans="1:15" x14ac:dyDescent="0.25">
      <c r="A13" s="33" t="s">
        <v>398</v>
      </c>
      <c r="B13" s="10" t="s">
        <v>281</v>
      </c>
      <c r="C13" s="9" t="s">
        <v>26</v>
      </c>
      <c r="D13" s="164">
        <v>20</v>
      </c>
      <c r="E13" s="13">
        <v>68.569999999999993</v>
      </c>
      <c r="G13" s="175">
        <v>1371.4</v>
      </c>
      <c r="H13" s="67"/>
      <c r="I13" s="146">
        <f t="shared" si="0"/>
        <v>1.7137086998813503E-3</v>
      </c>
      <c r="J13" s="67"/>
      <c r="K13" s="67"/>
      <c r="L13" s="180"/>
    </row>
    <row r="14" spans="1:15" x14ac:dyDescent="0.25">
      <c r="A14" s="33" t="s">
        <v>399</v>
      </c>
      <c r="B14" s="10" t="s">
        <v>283</v>
      </c>
      <c r="C14" s="9" t="s">
        <v>26</v>
      </c>
      <c r="D14" s="164">
        <v>7.5</v>
      </c>
      <c r="E14" s="13">
        <v>99.37</v>
      </c>
      <c r="G14" s="175">
        <v>745.27</v>
      </c>
      <c r="H14" s="67"/>
      <c r="I14" s="146">
        <f t="shared" si="0"/>
        <v>9.3129333729077867E-4</v>
      </c>
      <c r="J14" s="67"/>
      <c r="K14" s="67"/>
      <c r="L14" s="180"/>
    </row>
    <row r="15" spans="1:15" x14ac:dyDescent="0.25">
      <c r="A15" s="33" t="s">
        <v>400</v>
      </c>
      <c r="B15" s="10" t="s">
        <v>285</v>
      </c>
      <c r="C15" s="9" t="s">
        <v>26</v>
      </c>
      <c r="D15" s="164">
        <v>3.68</v>
      </c>
      <c r="E15" s="13">
        <v>213.38</v>
      </c>
      <c r="G15" s="175">
        <v>784.17</v>
      </c>
      <c r="H15" s="67"/>
      <c r="I15" s="146">
        <f t="shared" si="0"/>
        <v>9.7990298321857833E-4</v>
      </c>
      <c r="J15" s="67"/>
      <c r="K15" s="67"/>
      <c r="L15" s="180"/>
    </row>
    <row r="16" spans="1:15" x14ac:dyDescent="0.25">
      <c r="A16" s="33" t="s">
        <v>401</v>
      </c>
      <c r="B16" s="10" t="s">
        <v>287</v>
      </c>
      <c r="C16" s="9" t="s">
        <v>20</v>
      </c>
      <c r="D16" s="164">
        <v>56</v>
      </c>
      <c r="E16" s="13">
        <v>8.06</v>
      </c>
      <c r="G16" s="175">
        <v>451.36</v>
      </c>
      <c r="H16" s="67"/>
      <c r="I16" s="146">
        <f t="shared" si="0"/>
        <v>5.6402184539772952E-4</v>
      </c>
      <c r="J16" s="67"/>
      <c r="K16" s="67"/>
      <c r="L16" s="180"/>
    </row>
    <row r="17" spans="1:12" x14ac:dyDescent="0.25">
      <c r="A17" s="33" t="s">
        <v>402</v>
      </c>
      <c r="B17" s="10" t="s">
        <v>25</v>
      </c>
      <c r="C17" s="9" t="s">
        <v>26</v>
      </c>
      <c r="D17" s="164">
        <v>56</v>
      </c>
      <c r="E17" s="13">
        <v>22.24</v>
      </c>
      <c r="G17" s="175">
        <v>1245.44</v>
      </c>
      <c r="H17" s="67"/>
      <c r="I17" s="146">
        <f t="shared" si="0"/>
        <v>1.5563084170776061E-3</v>
      </c>
      <c r="J17" s="67"/>
      <c r="K17" s="67"/>
      <c r="L17" s="180"/>
    </row>
    <row r="18" spans="1:12" x14ac:dyDescent="0.25">
      <c r="A18" s="33" t="s">
        <v>403</v>
      </c>
      <c r="B18" s="10" t="s">
        <v>28</v>
      </c>
      <c r="C18" s="9" t="s">
        <v>29</v>
      </c>
      <c r="D18" s="164">
        <v>835.04499999999996</v>
      </c>
      <c r="E18" s="13">
        <v>2.6</v>
      </c>
      <c r="G18" s="175">
        <f>D18*E18</f>
        <v>2171.1170000000002</v>
      </c>
      <c r="H18" s="67"/>
      <c r="I18" s="146">
        <f t="shared" si="0"/>
        <v>2.7130392966022297E-3</v>
      </c>
      <c r="J18" s="67"/>
      <c r="K18" s="67"/>
      <c r="L18" s="180"/>
    </row>
    <row r="19" spans="1:12" x14ac:dyDescent="0.25">
      <c r="A19" s="32" t="s">
        <v>30</v>
      </c>
      <c r="B19" s="8" t="s">
        <v>31</v>
      </c>
      <c r="C19" s="9"/>
      <c r="D19" s="164"/>
      <c r="E19" s="13"/>
      <c r="G19" s="126"/>
      <c r="H19" s="143">
        <f>G20</f>
        <v>777170.50477600005</v>
      </c>
      <c r="I19" s="145">
        <f t="shared" ref="I19:I35" si="1">H19/$K$5</f>
        <v>0.97115637693292378</v>
      </c>
      <c r="J19" s="67"/>
      <c r="K19" s="67"/>
      <c r="L19" s="180"/>
    </row>
    <row r="20" spans="1:12" x14ac:dyDescent="0.25">
      <c r="A20" s="32" t="s">
        <v>32</v>
      </c>
      <c r="B20" s="8" t="s">
        <v>37</v>
      </c>
      <c r="C20" s="9"/>
      <c r="D20" s="164"/>
      <c r="E20" s="13"/>
      <c r="G20" s="126">
        <f>SUM(G21:G34)</f>
        <v>777170.50477600005</v>
      </c>
      <c r="H20" s="67"/>
      <c r="I20" s="146">
        <f>G20/$K$5</f>
        <v>0.97115637693292378</v>
      </c>
      <c r="J20" s="67"/>
      <c r="K20" s="67"/>
      <c r="L20" s="180"/>
    </row>
    <row r="21" spans="1:12" x14ac:dyDescent="0.25">
      <c r="A21" s="33" t="s">
        <v>34</v>
      </c>
      <c r="B21" s="10" t="s">
        <v>39</v>
      </c>
      <c r="C21" s="9" t="s">
        <v>26</v>
      </c>
      <c r="D21" s="164">
        <v>118</v>
      </c>
      <c r="E21" s="13">
        <v>813.12</v>
      </c>
      <c r="G21" s="175">
        <f>D21*E21</f>
        <v>95948.160000000003</v>
      </c>
      <c r="H21" s="67"/>
      <c r="I21" s="146">
        <f t="shared" ref="I21:I34" si="2">G21/$K$5</f>
        <v>0.11989732866385283</v>
      </c>
      <c r="J21" s="67"/>
      <c r="K21" s="67"/>
      <c r="L21" s="180"/>
    </row>
    <row r="22" spans="1:12" x14ac:dyDescent="0.25">
      <c r="A22" s="33" t="s">
        <v>465</v>
      </c>
      <c r="B22" s="10" t="s">
        <v>41</v>
      </c>
      <c r="C22" s="9" t="s">
        <v>42</v>
      </c>
      <c r="D22" s="164">
        <v>2100.4830999999999</v>
      </c>
      <c r="E22" s="13">
        <v>10.96</v>
      </c>
      <c r="G22" s="175">
        <f>D22*E22</f>
        <v>23021.294776000002</v>
      </c>
      <c r="H22" s="67"/>
      <c r="I22" s="146">
        <f t="shared" si="2"/>
        <v>2.8767531821616073E-2</v>
      </c>
      <c r="J22" s="67"/>
      <c r="K22" s="67"/>
      <c r="L22" s="180"/>
    </row>
    <row r="23" spans="1:12" x14ac:dyDescent="0.25">
      <c r="A23" s="33" t="s">
        <v>466</v>
      </c>
      <c r="B23" s="10" t="s">
        <v>44</v>
      </c>
      <c r="C23" s="9" t="s">
        <v>42</v>
      </c>
      <c r="D23" s="164">
        <v>4300</v>
      </c>
      <c r="E23" s="13">
        <v>12.25</v>
      </c>
      <c r="G23" s="175">
        <f>D23*E23</f>
        <v>52675</v>
      </c>
      <c r="H23" s="67"/>
      <c r="I23" s="146">
        <f t="shared" si="2"/>
        <v>6.5822958849533417E-2</v>
      </c>
      <c r="J23" s="67"/>
      <c r="K23" s="67"/>
      <c r="L23" s="180"/>
    </row>
    <row r="24" spans="1:12" x14ac:dyDescent="0.25">
      <c r="A24" s="33" t="s">
        <v>467</v>
      </c>
      <c r="B24" s="10" t="s">
        <v>46</v>
      </c>
      <c r="C24" s="9" t="s">
        <v>42</v>
      </c>
      <c r="D24" s="164">
        <v>4300</v>
      </c>
      <c r="E24" s="13">
        <v>11.21</v>
      </c>
      <c r="G24" s="175">
        <f>D24*E24</f>
        <v>48203.000000000007</v>
      </c>
      <c r="H24" s="67"/>
      <c r="I24" s="146">
        <f t="shared" si="2"/>
        <v>6.0234723975777116E-2</v>
      </c>
      <c r="J24" s="67"/>
      <c r="K24" s="67"/>
      <c r="L24" s="180"/>
    </row>
    <row r="25" spans="1:12" x14ac:dyDescent="0.25">
      <c r="A25" s="33" t="s">
        <v>468</v>
      </c>
      <c r="B25" s="10" t="s">
        <v>48</v>
      </c>
      <c r="C25" s="9" t="s">
        <v>26</v>
      </c>
      <c r="D25" s="164">
        <v>273.60000000000002</v>
      </c>
      <c r="E25" s="13">
        <v>31.86</v>
      </c>
      <c r="G25" s="175">
        <v>8716.9</v>
      </c>
      <c r="H25" s="67"/>
      <c r="I25" s="146">
        <f t="shared" si="2"/>
        <v>1.0892684385296588E-2</v>
      </c>
      <c r="J25" s="67"/>
      <c r="K25" s="67"/>
      <c r="L25" s="180"/>
    </row>
    <row r="26" spans="1:12" x14ac:dyDescent="0.25">
      <c r="A26" s="33" t="s">
        <v>469</v>
      </c>
      <c r="B26" s="10" t="s">
        <v>50</v>
      </c>
      <c r="C26" s="9" t="s">
        <v>26</v>
      </c>
      <c r="D26" s="164">
        <v>6.84</v>
      </c>
      <c r="E26" s="13">
        <v>1141.21</v>
      </c>
      <c r="G26" s="175">
        <v>7805.88</v>
      </c>
      <c r="H26" s="67"/>
      <c r="I26" s="146">
        <f t="shared" si="2"/>
        <v>9.7542689705628072E-3</v>
      </c>
      <c r="J26" s="67"/>
      <c r="K26" s="67"/>
      <c r="L26" s="180"/>
    </row>
    <row r="27" spans="1:12" x14ac:dyDescent="0.25">
      <c r="A27" s="33" t="s">
        <v>470</v>
      </c>
      <c r="B27" s="10" t="s">
        <v>52</v>
      </c>
      <c r="C27" s="9" t="s">
        <v>26</v>
      </c>
      <c r="D27" s="164">
        <v>6.84</v>
      </c>
      <c r="E27" s="13">
        <v>1270.69</v>
      </c>
      <c r="G27" s="175">
        <v>8691.52</v>
      </c>
      <c r="H27" s="67"/>
      <c r="I27" s="146">
        <f t="shared" si="2"/>
        <v>1.0860969402940611E-2</v>
      </c>
      <c r="J27" s="67"/>
      <c r="K27" s="67"/>
      <c r="L27" s="180"/>
    </row>
    <row r="28" spans="1:12" x14ac:dyDescent="0.25">
      <c r="A28" s="33" t="s">
        <v>471</v>
      </c>
      <c r="B28" s="10" t="s">
        <v>54</v>
      </c>
      <c r="C28" s="9" t="s">
        <v>26</v>
      </c>
      <c r="D28" s="164">
        <v>120</v>
      </c>
      <c r="E28" s="13">
        <v>1315.18</v>
      </c>
      <c r="G28" s="175">
        <f>D28*E28</f>
        <v>157821.6</v>
      </c>
      <c r="H28" s="67"/>
      <c r="I28" s="146">
        <f t="shared" si="2"/>
        <v>0.19721470683184666</v>
      </c>
      <c r="J28" s="67"/>
      <c r="K28" s="67"/>
      <c r="L28" s="180"/>
    </row>
    <row r="29" spans="1:12" x14ac:dyDescent="0.25">
      <c r="A29" s="33" t="s">
        <v>472</v>
      </c>
      <c r="B29" s="10" t="s">
        <v>56</v>
      </c>
      <c r="C29" s="9" t="s">
        <v>57</v>
      </c>
      <c r="D29" s="164">
        <v>171</v>
      </c>
      <c r="E29" s="13">
        <v>57.44</v>
      </c>
      <c r="G29" s="175">
        <v>9822.24</v>
      </c>
      <c r="H29" s="67"/>
      <c r="I29" s="146">
        <f t="shared" si="2"/>
        <v>1.227392310071649E-2</v>
      </c>
      <c r="J29" s="67"/>
      <c r="K29" s="67"/>
      <c r="L29" s="180"/>
    </row>
    <row r="30" spans="1:12" x14ac:dyDescent="0.25">
      <c r="A30" s="33" t="s">
        <v>473</v>
      </c>
      <c r="B30" s="10" t="s">
        <v>59</v>
      </c>
      <c r="C30" s="9" t="s">
        <v>20</v>
      </c>
      <c r="D30" s="164">
        <v>342</v>
      </c>
      <c r="E30" s="13">
        <v>134.62</v>
      </c>
      <c r="G30" s="175">
        <v>46040.04</v>
      </c>
      <c r="H30" s="67"/>
      <c r="I30" s="146">
        <f t="shared" si="2"/>
        <v>5.7531877709556194E-2</v>
      </c>
      <c r="J30" s="67"/>
      <c r="K30" s="67"/>
      <c r="L30" s="180"/>
    </row>
    <row r="31" spans="1:12" x14ac:dyDescent="0.25">
      <c r="A31" s="33" t="s">
        <v>474</v>
      </c>
      <c r="B31" s="10" t="s">
        <v>61</v>
      </c>
      <c r="C31" s="9" t="s">
        <v>26</v>
      </c>
      <c r="D31" s="164">
        <v>273.60000000000002</v>
      </c>
      <c r="E31" s="13">
        <v>72.09</v>
      </c>
      <c r="G31" s="175">
        <v>19723.82</v>
      </c>
      <c r="H31" s="67"/>
      <c r="I31" s="146">
        <f t="shared" si="2"/>
        <v>2.4646989885440989E-2</v>
      </c>
      <c r="J31" s="67"/>
      <c r="K31" s="67"/>
      <c r="L31" s="180"/>
    </row>
    <row r="32" spans="1:12" x14ac:dyDescent="0.25">
      <c r="A32" s="33" t="s">
        <v>475</v>
      </c>
      <c r="B32" s="10" t="s">
        <v>63</v>
      </c>
      <c r="C32" s="9" t="s">
        <v>20</v>
      </c>
      <c r="D32" s="164">
        <v>273.60000000000002</v>
      </c>
      <c r="E32" s="13">
        <v>97.43</v>
      </c>
      <c r="G32" s="175">
        <v>26656.85</v>
      </c>
      <c r="H32" s="67"/>
      <c r="I32" s="146">
        <f t="shared" si="2"/>
        <v>3.3310540875333361E-2</v>
      </c>
      <c r="J32" s="67"/>
      <c r="K32" s="67"/>
      <c r="L32" s="180"/>
    </row>
    <row r="33" spans="1:14" x14ac:dyDescent="0.25">
      <c r="A33" s="33" t="s">
        <v>476</v>
      </c>
      <c r="B33" s="10" t="s">
        <v>65</v>
      </c>
      <c r="C33" s="9" t="s">
        <v>42</v>
      </c>
      <c r="D33" s="164">
        <v>4100</v>
      </c>
      <c r="E33" s="13">
        <v>14.14</v>
      </c>
      <c r="G33" s="175">
        <f>D33*E33</f>
        <v>57974</v>
      </c>
      <c r="H33" s="67"/>
      <c r="I33" s="146">
        <f t="shared" si="2"/>
        <v>7.2444617301240632E-2</v>
      </c>
      <c r="J33" s="67"/>
      <c r="K33" s="67"/>
      <c r="L33" s="180"/>
    </row>
    <row r="34" spans="1:14" x14ac:dyDescent="0.25">
      <c r="A34" s="33" t="s">
        <v>477</v>
      </c>
      <c r="B34" s="10" t="s">
        <v>67</v>
      </c>
      <c r="C34" s="9" t="s">
        <v>26</v>
      </c>
      <c r="D34" s="164">
        <v>230</v>
      </c>
      <c r="E34" s="13">
        <v>930.74</v>
      </c>
      <c r="G34" s="175">
        <f>D34*E34</f>
        <v>214070.2</v>
      </c>
      <c r="H34" s="67"/>
      <c r="I34" s="146">
        <f t="shared" si="2"/>
        <v>0.26750325515921003</v>
      </c>
      <c r="J34" s="67"/>
      <c r="K34" s="67"/>
      <c r="L34" s="180"/>
    </row>
    <row r="35" spans="1:14" x14ac:dyDescent="0.25">
      <c r="A35" s="32" t="s">
        <v>68</v>
      </c>
      <c r="B35" s="8" t="s">
        <v>69</v>
      </c>
      <c r="C35" s="9"/>
      <c r="D35" s="164"/>
      <c r="E35" s="13"/>
      <c r="G35" s="126"/>
      <c r="H35" s="143">
        <f>G36</f>
        <v>4416.3599999999997</v>
      </c>
      <c r="I35" s="145">
        <f t="shared" si="1"/>
        <v>5.518706835210733E-3</v>
      </c>
      <c r="J35" s="67"/>
      <c r="K35" s="67"/>
      <c r="L35" s="180"/>
    </row>
    <row r="36" spans="1:14" x14ac:dyDescent="0.25">
      <c r="A36" s="32" t="s">
        <v>70</v>
      </c>
      <c r="B36" s="8" t="s">
        <v>71</v>
      </c>
      <c r="C36" s="9"/>
      <c r="D36" s="164"/>
      <c r="E36" s="13"/>
      <c r="G36" s="126">
        <f>G37</f>
        <v>4416.3599999999997</v>
      </c>
      <c r="H36" s="67"/>
      <c r="I36" s="146">
        <f>G36/$K$5</f>
        <v>5.518706835210733E-3</v>
      </c>
      <c r="J36" s="67"/>
      <c r="K36" s="67"/>
      <c r="L36" s="180"/>
    </row>
    <row r="37" spans="1:14" ht="13.5" thickBot="1" x14ac:dyDescent="0.3">
      <c r="A37" s="34" t="s">
        <v>72</v>
      </c>
      <c r="B37" s="35" t="s">
        <v>73</v>
      </c>
      <c r="C37" s="36" t="s">
        <v>57</v>
      </c>
      <c r="D37" s="168">
        <v>114</v>
      </c>
      <c r="E37" s="37">
        <v>38.74</v>
      </c>
      <c r="F37" s="157"/>
      <c r="G37" s="181">
        <v>4416.3599999999997</v>
      </c>
      <c r="H37" s="77"/>
      <c r="I37" s="151">
        <f>G37/$K$5</f>
        <v>5.518706835210733E-3</v>
      </c>
      <c r="J37" s="77"/>
      <c r="K37" s="77"/>
      <c r="L37" s="182"/>
    </row>
    <row r="38" spans="1:14" ht="13.5" thickBot="1" x14ac:dyDescent="0.3">
      <c r="A38" s="41"/>
      <c r="D38" s="166"/>
      <c r="E38" s="44"/>
      <c r="G38" s="176"/>
      <c r="L38" s="177"/>
      <c r="N38" s="71"/>
    </row>
    <row r="39" spans="1:14" x14ac:dyDescent="0.25">
      <c r="A39" s="25">
        <v>2</v>
      </c>
      <c r="B39" s="26" t="s">
        <v>206</v>
      </c>
      <c r="C39" s="27"/>
      <c r="D39" s="172"/>
      <c r="E39" s="29"/>
      <c r="F39" s="156"/>
      <c r="G39" s="120"/>
      <c r="H39" s="72"/>
      <c r="I39" s="27"/>
      <c r="J39" s="72"/>
      <c r="K39" s="72"/>
      <c r="L39" s="183"/>
    </row>
    <row r="40" spans="1:14" x14ac:dyDescent="0.25">
      <c r="A40" s="32" t="s">
        <v>79</v>
      </c>
      <c r="B40" s="8" t="s">
        <v>208</v>
      </c>
      <c r="C40" s="9"/>
      <c r="D40" s="164"/>
      <c r="E40" s="13"/>
      <c r="G40" s="126"/>
      <c r="H40" s="143">
        <f>G41+G43+G45</f>
        <v>475239.52610390005</v>
      </c>
      <c r="I40" s="145">
        <f>H40/$K$40</f>
        <v>0.46295685658219266</v>
      </c>
      <c r="J40" s="67"/>
      <c r="K40" s="143">
        <f>SUM(H40:H59)</f>
        <v>1026530.9161038999</v>
      </c>
      <c r="L40" s="173">
        <v>1</v>
      </c>
    </row>
    <row r="41" spans="1:14" x14ac:dyDescent="0.25">
      <c r="A41" s="32" t="s">
        <v>80</v>
      </c>
      <c r="B41" s="8" t="s">
        <v>71</v>
      </c>
      <c r="C41" s="9"/>
      <c r="D41" s="164"/>
      <c r="E41" s="13"/>
      <c r="G41" s="126">
        <f>G42</f>
        <v>78642.2</v>
      </c>
      <c r="H41" s="67"/>
      <c r="I41" s="146">
        <f>G41/$K$40</f>
        <v>7.660967513621407E-2</v>
      </c>
      <c r="J41" s="67"/>
      <c r="K41" s="67"/>
      <c r="L41" s="180"/>
    </row>
    <row r="42" spans="1:14" x14ac:dyDescent="0.25">
      <c r="A42" s="33" t="s">
        <v>81</v>
      </c>
      <c r="B42" s="10" t="s">
        <v>73</v>
      </c>
      <c r="C42" s="9" t="s">
        <v>57</v>
      </c>
      <c r="D42" s="164">
        <v>2030</v>
      </c>
      <c r="E42" s="13">
        <v>38.74</v>
      </c>
      <c r="G42" s="175">
        <v>78642.2</v>
      </c>
      <c r="H42" s="67"/>
      <c r="I42" s="146">
        <f t="shared" ref="I42:I47" si="3">G42/$K$40</f>
        <v>7.660967513621407E-2</v>
      </c>
      <c r="J42" s="67"/>
      <c r="K42" s="67"/>
      <c r="L42" s="180"/>
    </row>
    <row r="43" spans="1:14" x14ac:dyDescent="0.25">
      <c r="A43" s="32" t="s">
        <v>278</v>
      </c>
      <c r="B43" s="8" t="s">
        <v>75</v>
      </c>
      <c r="C43" s="9"/>
      <c r="D43" s="164"/>
      <c r="E43" s="13"/>
      <c r="G43" s="126">
        <f>G44</f>
        <v>58556.52</v>
      </c>
      <c r="H43" s="67"/>
      <c r="I43" s="146">
        <f t="shared" si="3"/>
        <v>5.7043113930017493E-2</v>
      </c>
      <c r="J43" s="67"/>
      <c r="K43" s="67"/>
      <c r="L43" s="180"/>
    </row>
    <row r="44" spans="1:14" ht="25.5" x14ac:dyDescent="0.25">
      <c r="A44" s="33" t="s">
        <v>280</v>
      </c>
      <c r="B44" s="10" t="s">
        <v>77</v>
      </c>
      <c r="C44" s="9" t="s">
        <v>26</v>
      </c>
      <c r="D44" s="164">
        <v>27</v>
      </c>
      <c r="E44" s="13">
        <v>2168.7600000000002</v>
      </c>
      <c r="G44" s="175">
        <v>58556.52</v>
      </c>
      <c r="H44" s="67"/>
      <c r="I44" s="146">
        <f t="shared" si="3"/>
        <v>5.7043113930017493E-2</v>
      </c>
      <c r="J44" s="67"/>
      <c r="K44" s="67"/>
      <c r="L44" s="180"/>
    </row>
    <row r="45" spans="1:14" x14ac:dyDescent="0.25">
      <c r="A45" s="32" t="s">
        <v>530</v>
      </c>
      <c r="B45" s="8" t="s">
        <v>446</v>
      </c>
      <c r="C45" s="9"/>
      <c r="D45" s="164"/>
      <c r="E45" s="13"/>
      <c r="G45" s="126">
        <f>SUM(G46:G47)</f>
        <v>338040.80610390007</v>
      </c>
      <c r="H45" s="67"/>
      <c r="I45" s="146">
        <f t="shared" si="3"/>
        <v>0.32930406751596109</v>
      </c>
      <c r="J45" s="67"/>
      <c r="K45" s="67"/>
      <c r="L45" s="180"/>
    </row>
    <row r="46" spans="1:14" x14ac:dyDescent="0.25">
      <c r="A46" s="33" t="s">
        <v>531</v>
      </c>
      <c r="B46" s="10" t="s">
        <v>448</v>
      </c>
      <c r="C46" s="9" t="s">
        <v>57</v>
      </c>
      <c r="D46" s="164">
        <v>1240.4634100000001</v>
      </c>
      <c r="E46" s="13">
        <v>261.79000000000002</v>
      </c>
      <c r="G46" s="175">
        <f>D46*E46</f>
        <v>324740.91610390006</v>
      </c>
      <c r="H46" s="67"/>
      <c r="I46" s="146">
        <f t="shared" si="3"/>
        <v>0.31634791608266721</v>
      </c>
      <c r="J46" s="67"/>
      <c r="K46" s="67"/>
      <c r="L46" s="180"/>
    </row>
    <row r="47" spans="1:14" x14ac:dyDescent="0.25">
      <c r="A47" s="33" t="s">
        <v>532</v>
      </c>
      <c r="B47" s="10" t="s">
        <v>450</v>
      </c>
      <c r="C47" s="9" t="s">
        <v>23</v>
      </c>
      <c r="D47" s="164">
        <v>66.77</v>
      </c>
      <c r="E47" s="13">
        <v>199.2</v>
      </c>
      <c r="G47" s="175">
        <v>13299.89</v>
      </c>
      <c r="H47" s="67"/>
      <c r="I47" s="146">
        <f t="shared" si="3"/>
        <v>1.2956151433293856E-2</v>
      </c>
      <c r="J47" s="67"/>
      <c r="K47" s="67"/>
      <c r="L47" s="180"/>
    </row>
    <row r="48" spans="1:14" x14ac:dyDescent="0.25">
      <c r="A48" s="32" t="s">
        <v>85</v>
      </c>
      <c r="B48" s="8" t="s">
        <v>215</v>
      </c>
      <c r="C48" s="9"/>
      <c r="D48" s="164"/>
      <c r="E48" s="13"/>
      <c r="G48" s="126"/>
      <c r="H48" s="143">
        <f>G49+G51</f>
        <v>495930.38999999996</v>
      </c>
      <c r="I48" s="145">
        <f>H48/$K$40</f>
        <v>0.48311296057429659</v>
      </c>
      <c r="J48" s="67"/>
      <c r="K48" s="67"/>
      <c r="L48" s="180"/>
    </row>
    <row r="49" spans="1:14" x14ac:dyDescent="0.25">
      <c r="A49" s="32" t="s">
        <v>86</v>
      </c>
      <c r="B49" s="8" t="s">
        <v>217</v>
      </c>
      <c r="C49" s="9"/>
      <c r="D49" s="164"/>
      <c r="E49" s="13"/>
      <c r="G49" s="126">
        <f>G50</f>
        <v>31535.29</v>
      </c>
      <c r="H49" s="67"/>
      <c r="I49" s="146">
        <f>G49/$K$40</f>
        <v>3.0720253530881644E-2</v>
      </c>
      <c r="J49" s="67"/>
      <c r="K49" s="67"/>
      <c r="L49" s="180"/>
    </row>
    <row r="50" spans="1:14" ht="25.5" x14ac:dyDescent="0.25">
      <c r="A50" s="33" t="s">
        <v>87</v>
      </c>
      <c r="B50" s="10" t="s">
        <v>219</v>
      </c>
      <c r="C50" s="9" t="s">
        <v>26</v>
      </c>
      <c r="D50" s="164">
        <v>31.84</v>
      </c>
      <c r="E50" s="13">
        <v>990.43</v>
      </c>
      <c r="G50" s="175">
        <v>31535.29</v>
      </c>
      <c r="H50" s="67"/>
      <c r="I50" s="146">
        <f t="shared" ref="I50:I53" si="4">G50/$K$40</f>
        <v>3.0720253530881644E-2</v>
      </c>
      <c r="J50" s="67"/>
      <c r="K50" s="67"/>
      <c r="L50" s="180"/>
    </row>
    <row r="51" spans="1:14" x14ac:dyDescent="0.25">
      <c r="A51" s="32" t="s">
        <v>88</v>
      </c>
      <c r="B51" s="8" t="s">
        <v>248</v>
      </c>
      <c r="C51" s="9"/>
      <c r="D51" s="164"/>
      <c r="E51" s="13"/>
      <c r="G51" s="126">
        <f>G52+G53</f>
        <v>464395.1</v>
      </c>
      <c r="H51" s="67"/>
      <c r="I51" s="146">
        <f t="shared" si="4"/>
        <v>0.45239270704341494</v>
      </c>
      <c r="J51" s="67"/>
      <c r="K51" s="67"/>
      <c r="L51" s="180"/>
    </row>
    <row r="52" spans="1:14" ht="25.5" x14ac:dyDescent="0.25">
      <c r="A52" s="33" t="s">
        <v>89</v>
      </c>
      <c r="B52" s="10" t="s">
        <v>250</v>
      </c>
      <c r="C52" s="9" t="s">
        <v>26</v>
      </c>
      <c r="D52" s="164">
        <v>84.5</v>
      </c>
      <c r="E52" s="13">
        <v>4960</v>
      </c>
      <c r="G52" s="175">
        <f>D52*E52</f>
        <v>419120</v>
      </c>
      <c r="H52" s="67"/>
      <c r="I52" s="146">
        <f t="shared" si="4"/>
        <v>0.40828775190788208</v>
      </c>
      <c r="J52" s="67"/>
      <c r="K52" s="67"/>
      <c r="L52" s="180"/>
    </row>
    <row r="53" spans="1:14" x14ac:dyDescent="0.25">
      <c r="A53" s="33" t="s">
        <v>90</v>
      </c>
      <c r="B53" s="10" t="s">
        <v>252</v>
      </c>
      <c r="C53" s="9" t="s">
        <v>57</v>
      </c>
      <c r="D53" s="164">
        <v>338</v>
      </c>
      <c r="E53" s="13">
        <v>133.94999999999999</v>
      </c>
      <c r="G53" s="175">
        <v>45275.1</v>
      </c>
      <c r="H53" s="67"/>
      <c r="I53" s="146">
        <f t="shared" si="4"/>
        <v>4.4104955135532906E-2</v>
      </c>
      <c r="J53" s="67"/>
      <c r="K53" s="67"/>
      <c r="L53" s="180"/>
    </row>
    <row r="54" spans="1:14" x14ac:dyDescent="0.25">
      <c r="A54" s="32" t="s">
        <v>103</v>
      </c>
      <c r="B54" s="8" t="s">
        <v>254</v>
      </c>
      <c r="C54" s="9"/>
      <c r="D54" s="164"/>
      <c r="E54" s="13"/>
      <c r="G54" s="126"/>
      <c r="H54" s="143">
        <f>G55</f>
        <v>31269</v>
      </c>
      <c r="I54" s="145">
        <f>H54/$K$40</f>
        <v>3.0460845854188692E-2</v>
      </c>
      <c r="J54" s="67"/>
      <c r="K54" s="67"/>
      <c r="L54" s="180"/>
    </row>
    <row r="55" spans="1:14" x14ac:dyDescent="0.25">
      <c r="A55" s="32" t="s">
        <v>104</v>
      </c>
      <c r="B55" s="8" t="s">
        <v>256</v>
      </c>
      <c r="C55" s="9"/>
      <c r="D55" s="164"/>
      <c r="E55" s="13"/>
      <c r="G55" s="126">
        <f>G56</f>
        <v>31269</v>
      </c>
      <c r="H55" s="67"/>
      <c r="I55" s="146">
        <f>G55/$K$40</f>
        <v>3.0460845854188692E-2</v>
      </c>
      <c r="J55" s="67"/>
      <c r="K55" s="67"/>
      <c r="L55" s="180"/>
    </row>
    <row r="56" spans="1:14" x14ac:dyDescent="0.25">
      <c r="A56" s="33" t="s">
        <v>105</v>
      </c>
      <c r="B56" s="10" t="s">
        <v>258</v>
      </c>
      <c r="C56" s="9" t="s">
        <v>57</v>
      </c>
      <c r="D56" s="164">
        <v>350</v>
      </c>
      <c r="E56" s="13">
        <v>89.34</v>
      </c>
      <c r="G56" s="175">
        <v>31269</v>
      </c>
      <c r="H56" s="67"/>
      <c r="I56" s="146">
        <f>G56/$K$40</f>
        <v>3.0460845854188692E-2</v>
      </c>
      <c r="J56" s="67"/>
      <c r="K56" s="67"/>
      <c r="L56" s="180"/>
    </row>
    <row r="57" spans="1:14" x14ac:dyDescent="0.25">
      <c r="A57" s="32" t="s">
        <v>533</v>
      </c>
      <c r="B57" s="8" t="s">
        <v>260</v>
      </c>
      <c r="C57" s="9"/>
      <c r="D57" s="164"/>
      <c r="E57" s="13"/>
      <c r="G57" s="126"/>
      <c r="H57" s="143">
        <f>G58</f>
        <v>24092</v>
      </c>
      <c r="I57" s="145">
        <f>H57/$K$40</f>
        <v>2.3469336989322138E-2</v>
      </c>
      <c r="J57" s="67"/>
      <c r="K57" s="67"/>
      <c r="L57" s="180"/>
    </row>
    <row r="58" spans="1:14" x14ac:dyDescent="0.25">
      <c r="A58" s="32" t="s">
        <v>534</v>
      </c>
      <c r="B58" s="8" t="s">
        <v>262</v>
      </c>
      <c r="C58" s="9"/>
      <c r="D58" s="164"/>
      <c r="E58" s="13"/>
      <c r="G58" s="126">
        <f>G59</f>
        <v>24092</v>
      </c>
      <c r="H58" s="67"/>
      <c r="I58" s="146">
        <f>G58/$K$40</f>
        <v>2.3469336989322138E-2</v>
      </c>
      <c r="J58" s="67"/>
      <c r="K58" s="67"/>
      <c r="L58" s="180"/>
    </row>
    <row r="59" spans="1:14" ht="13.5" thickBot="1" x14ac:dyDescent="0.3">
      <c r="A59" s="34" t="s">
        <v>535</v>
      </c>
      <c r="B59" s="35" t="s">
        <v>264</v>
      </c>
      <c r="C59" s="36" t="s">
        <v>23</v>
      </c>
      <c r="D59" s="168">
        <v>38</v>
      </c>
      <c r="E59" s="37">
        <v>634</v>
      </c>
      <c r="F59" s="157"/>
      <c r="G59" s="181">
        <v>24092</v>
      </c>
      <c r="H59" s="77"/>
      <c r="I59" s="151">
        <f>G59/$K$40</f>
        <v>2.3469336989322138E-2</v>
      </c>
      <c r="J59" s="77"/>
      <c r="K59" s="77"/>
      <c r="L59" s="182"/>
    </row>
    <row r="61" spans="1:14" s="7" customFormat="1" ht="15" x14ac:dyDescent="0.25">
      <c r="A61" s="11"/>
      <c r="B61" s="98" t="s">
        <v>271</v>
      </c>
      <c r="C61" s="9"/>
      <c r="D61" s="99"/>
      <c r="E61" s="95"/>
      <c r="G61" s="277">
        <f>K5</f>
        <v>800252.69177600008</v>
      </c>
      <c r="H61" s="277"/>
      <c r="I61" s="277"/>
      <c r="J61" s="277"/>
      <c r="K61" s="277"/>
      <c r="L61" s="163">
        <v>1</v>
      </c>
      <c r="N61" s="64"/>
    </row>
    <row r="62" spans="1:14" s="7" customFormat="1" ht="15" x14ac:dyDescent="0.25">
      <c r="A62" s="18"/>
      <c r="B62" s="98" t="s">
        <v>272</v>
      </c>
      <c r="C62" s="18"/>
      <c r="D62" s="144"/>
      <c r="E62" s="132"/>
      <c r="G62" s="277">
        <f>K40</f>
        <v>1026530.9161038999</v>
      </c>
      <c r="H62" s="277"/>
      <c r="I62" s="277"/>
      <c r="J62" s="277"/>
      <c r="K62" s="277"/>
      <c r="L62" s="163">
        <v>1</v>
      </c>
      <c r="N62" s="64"/>
    </row>
    <row r="63" spans="1:14" s="7" customFormat="1" ht="15" x14ac:dyDescent="0.25">
      <c r="A63" s="18"/>
      <c r="B63" s="98" t="s">
        <v>270</v>
      </c>
      <c r="C63" s="18"/>
      <c r="D63" s="144"/>
      <c r="E63" s="132"/>
      <c r="G63" s="277">
        <f>G61+G62</f>
        <v>1826783.6078798999</v>
      </c>
      <c r="H63" s="277"/>
      <c r="I63" s="277"/>
      <c r="J63" s="277"/>
      <c r="K63" s="277"/>
      <c r="L63" s="126"/>
      <c r="N63" s="64"/>
    </row>
  </sheetData>
  <mergeCells count="5">
    <mergeCell ref="G3:L3"/>
    <mergeCell ref="G4:H4"/>
    <mergeCell ref="G61:K61"/>
    <mergeCell ref="G62:K62"/>
    <mergeCell ref="G63:K63"/>
  </mergeCells>
  <pageMargins left="0.511811024" right="0.511811024" top="0.78740157499999996" bottom="0.78740157499999996" header="0.31496062000000002" footer="0.31496062000000002"/>
  <pageSetup paperSize="8" scale="76" fitToHeight="0" orientation="landscape" horizontalDpi="1200" verticalDpi="1200" r:id="rId1"/>
  <ignoredErrors>
    <ignoredError sqref="I19 I35 I57 I54 I48"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51537-5559-4658-86B7-6823FF111281}">
  <sheetPr>
    <pageSetUpPr fitToPage="1"/>
  </sheetPr>
  <dimension ref="A1:O54"/>
  <sheetViews>
    <sheetView workbookViewId="0">
      <pane ySplit="4" topLeftCell="A5" activePane="bottomLeft" state="frozen"/>
      <selection pane="bottomLeft" activeCell="B57" sqref="B57"/>
    </sheetView>
  </sheetViews>
  <sheetFormatPr defaultColWidth="9.140625" defaultRowHeight="12.75" x14ac:dyDescent="0.25"/>
  <cols>
    <col min="1" max="1" width="18.7109375" style="63" customWidth="1"/>
    <col min="2" max="2" width="113.140625" style="41" customWidth="1"/>
    <col min="3" max="3" width="6.7109375" style="42" customWidth="1"/>
    <col min="4" max="4" width="10.7109375" style="43" customWidth="1"/>
    <col min="5" max="5" width="16.7109375" style="61" customWidth="1"/>
    <col min="6" max="6" width="2.5703125" style="62" customWidth="1"/>
    <col min="7" max="7" width="16.85546875" style="103" customWidth="1"/>
    <col min="8" max="8" width="16.85546875" style="62" customWidth="1"/>
    <col min="9" max="9" width="14.85546875" style="42" customWidth="1"/>
    <col min="10" max="10" width="1.140625" style="62" customWidth="1"/>
    <col min="11" max="11" width="17.42578125" style="62" customWidth="1"/>
    <col min="12" max="12" width="9.140625" style="42"/>
    <col min="13" max="13" width="9.140625" style="62"/>
    <col min="14" max="14" width="14.140625" style="66" bestFit="1" customWidth="1"/>
    <col min="15" max="15" width="13.140625" style="62" bestFit="1" customWidth="1"/>
    <col min="16" max="16384" width="9.140625" style="62"/>
  </cols>
  <sheetData>
    <row r="1" spans="1:12" x14ac:dyDescent="0.25">
      <c r="A1" s="59" t="s">
        <v>4</v>
      </c>
    </row>
    <row r="3" spans="1:12" x14ac:dyDescent="0.25">
      <c r="A3" s="59" t="s">
        <v>536</v>
      </c>
      <c r="G3" s="294" t="s">
        <v>11</v>
      </c>
      <c r="H3" s="294"/>
      <c r="I3" s="294"/>
      <c r="J3" s="294"/>
      <c r="K3" s="294"/>
      <c r="L3" s="294"/>
    </row>
    <row r="4" spans="1:12" ht="13.5" thickBot="1" x14ac:dyDescent="0.3">
      <c r="A4" s="46" t="s">
        <v>6</v>
      </c>
      <c r="B4" s="47" t="s">
        <v>7</v>
      </c>
      <c r="C4" s="46" t="s">
        <v>8</v>
      </c>
      <c r="D4" s="48" t="s">
        <v>9</v>
      </c>
      <c r="E4" s="178" t="s">
        <v>10</v>
      </c>
      <c r="G4" s="295" t="s">
        <v>273</v>
      </c>
      <c r="H4" s="296"/>
      <c r="I4" s="104" t="s">
        <v>275</v>
      </c>
      <c r="J4" s="141"/>
      <c r="K4" s="93" t="s">
        <v>274</v>
      </c>
      <c r="L4" s="104" t="s">
        <v>12</v>
      </c>
    </row>
    <row r="5" spans="1:12" x14ac:dyDescent="0.25">
      <c r="A5" s="25">
        <v>1</v>
      </c>
      <c r="B5" s="26" t="s">
        <v>13</v>
      </c>
      <c r="C5" s="27"/>
      <c r="D5" s="172"/>
      <c r="E5" s="29"/>
      <c r="F5" s="156"/>
      <c r="G5" s="105"/>
      <c r="H5" s="72"/>
      <c r="I5" s="27"/>
      <c r="J5" s="72"/>
      <c r="K5" s="73">
        <f>SUM(H5:H37)</f>
        <v>1071693.5994800001</v>
      </c>
      <c r="L5" s="179">
        <v>1</v>
      </c>
    </row>
    <row r="6" spans="1:12" x14ac:dyDescent="0.25">
      <c r="A6" s="32" t="s">
        <v>14</v>
      </c>
      <c r="B6" s="8" t="s">
        <v>15</v>
      </c>
      <c r="C6" s="9"/>
      <c r="D6" s="164"/>
      <c r="E6" s="13"/>
      <c r="G6" s="109"/>
      <c r="H6" s="143">
        <f>G7+G12</f>
        <v>22548.9018</v>
      </c>
      <c r="I6" s="145">
        <f>H6/$K$5</f>
        <v>2.104043712768372E-2</v>
      </c>
      <c r="J6" s="67"/>
      <c r="K6" s="67"/>
      <c r="L6" s="180"/>
    </row>
    <row r="7" spans="1:12" x14ac:dyDescent="0.25">
      <c r="A7" s="32" t="s">
        <v>16</v>
      </c>
      <c r="B7" s="8" t="s">
        <v>17</v>
      </c>
      <c r="C7" s="9"/>
      <c r="D7" s="164"/>
      <c r="E7" s="13"/>
      <c r="G7" s="109">
        <f>SUM(G8:G11)</f>
        <v>16071.48</v>
      </c>
      <c r="H7" s="67"/>
      <c r="I7" s="146">
        <f>G7/$K$5</f>
        <v>1.499633851298365E-2</v>
      </c>
      <c r="J7" s="67"/>
      <c r="K7" s="67"/>
      <c r="L7" s="180"/>
    </row>
    <row r="8" spans="1:12" x14ac:dyDescent="0.25">
      <c r="A8" s="33" t="s">
        <v>18</v>
      </c>
      <c r="B8" s="10" t="s">
        <v>19</v>
      </c>
      <c r="C8" s="9" t="s">
        <v>20</v>
      </c>
      <c r="D8" s="164">
        <v>462</v>
      </c>
      <c r="E8" s="13">
        <v>5.55</v>
      </c>
      <c r="G8" s="95">
        <v>2564.1</v>
      </c>
      <c r="H8" s="67"/>
      <c r="I8" s="146">
        <f t="shared" ref="I8:I18" si="0">G8/$K$5</f>
        <v>2.3925681754973019E-3</v>
      </c>
      <c r="J8" s="67"/>
      <c r="K8" s="67"/>
      <c r="L8" s="180"/>
    </row>
    <row r="9" spans="1:12" x14ac:dyDescent="0.25">
      <c r="A9" s="33" t="s">
        <v>21</v>
      </c>
      <c r="B9" s="10" t="s">
        <v>22</v>
      </c>
      <c r="C9" s="9" t="s">
        <v>23</v>
      </c>
      <c r="D9" s="164">
        <v>11.55</v>
      </c>
      <c r="E9" s="13">
        <v>275.47000000000003</v>
      </c>
      <c r="G9" s="95">
        <v>3181.68</v>
      </c>
      <c r="H9" s="67"/>
      <c r="I9" s="146">
        <f t="shared" si="0"/>
        <v>2.96883363075397E-3</v>
      </c>
      <c r="J9" s="67"/>
      <c r="K9" s="67"/>
      <c r="L9" s="180"/>
    </row>
    <row r="10" spans="1:12" x14ac:dyDescent="0.25">
      <c r="A10" s="33" t="s">
        <v>24</v>
      </c>
      <c r="B10" s="10" t="s">
        <v>25</v>
      </c>
      <c r="C10" s="9" t="s">
        <v>26</v>
      </c>
      <c r="D10" s="164">
        <v>138.6</v>
      </c>
      <c r="E10" s="13">
        <v>22.24</v>
      </c>
      <c r="G10" s="95">
        <v>3082.46</v>
      </c>
      <c r="H10" s="67"/>
      <c r="I10" s="146">
        <f t="shared" si="0"/>
        <v>2.8762511985661299E-3</v>
      </c>
      <c r="J10" s="67"/>
      <c r="K10" s="67"/>
      <c r="L10" s="180"/>
    </row>
    <row r="11" spans="1:12" x14ac:dyDescent="0.25">
      <c r="A11" s="33" t="s">
        <v>27</v>
      </c>
      <c r="B11" s="10" t="s">
        <v>28</v>
      </c>
      <c r="C11" s="9" t="s">
        <v>29</v>
      </c>
      <c r="D11" s="164">
        <v>2785.86</v>
      </c>
      <c r="E11" s="13">
        <v>2.6</v>
      </c>
      <c r="G11" s="95">
        <v>7243.24</v>
      </c>
      <c r="H11" s="67"/>
      <c r="I11" s="146">
        <f t="shared" si="0"/>
        <v>6.7586855081662482E-3</v>
      </c>
      <c r="J11" s="67"/>
      <c r="K11" s="67"/>
      <c r="L11" s="180"/>
    </row>
    <row r="12" spans="1:12" x14ac:dyDescent="0.25">
      <c r="A12" s="32" t="s">
        <v>397</v>
      </c>
      <c r="B12" s="8" t="s">
        <v>279</v>
      </c>
      <c r="C12" s="9"/>
      <c r="D12" s="164"/>
      <c r="E12" s="13"/>
      <c r="G12" s="109">
        <f>SUM(G13:G18)</f>
        <v>6477.4218000000001</v>
      </c>
      <c r="H12" s="67"/>
      <c r="I12" s="146">
        <f t="shared" si="0"/>
        <v>6.0440986147000698E-3</v>
      </c>
      <c r="J12" s="67"/>
      <c r="K12" s="67"/>
      <c r="L12" s="180"/>
    </row>
    <row r="13" spans="1:12" x14ac:dyDescent="0.25">
      <c r="A13" s="33" t="s">
        <v>398</v>
      </c>
      <c r="B13" s="10" t="s">
        <v>281</v>
      </c>
      <c r="C13" s="9" t="s">
        <v>26</v>
      </c>
      <c r="D13" s="164">
        <v>30</v>
      </c>
      <c r="E13" s="13">
        <v>68.569999999999993</v>
      </c>
      <c r="G13" s="95">
        <f>D13*E13</f>
        <v>2057.1</v>
      </c>
      <c r="H13" s="67"/>
      <c r="I13" s="146">
        <f t="shared" si="0"/>
        <v>1.9194851970732419E-3</v>
      </c>
      <c r="J13" s="67"/>
      <c r="K13" s="67"/>
      <c r="L13" s="180"/>
    </row>
    <row r="14" spans="1:12" x14ac:dyDescent="0.25">
      <c r="A14" s="33" t="s">
        <v>399</v>
      </c>
      <c r="B14" s="10" t="s">
        <v>283</v>
      </c>
      <c r="C14" s="9" t="s">
        <v>26</v>
      </c>
      <c r="D14" s="164">
        <v>10.050000000000001</v>
      </c>
      <c r="E14" s="13">
        <v>99.37</v>
      </c>
      <c r="G14" s="95">
        <v>998.67</v>
      </c>
      <c r="H14" s="67"/>
      <c r="I14" s="146">
        <f t="shared" si="0"/>
        <v>9.318614951928124E-4</v>
      </c>
      <c r="J14" s="67"/>
      <c r="K14" s="67"/>
      <c r="L14" s="180"/>
    </row>
    <row r="15" spans="1:12" x14ac:dyDescent="0.25">
      <c r="A15" s="33" t="s">
        <v>400</v>
      </c>
      <c r="B15" s="10" t="s">
        <v>285</v>
      </c>
      <c r="C15" s="9" t="s">
        <v>26</v>
      </c>
      <c r="D15" s="164">
        <v>3.51</v>
      </c>
      <c r="E15" s="13">
        <v>213.38</v>
      </c>
      <c r="G15" s="95">
        <v>748.96</v>
      </c>
      <c r="H15" s="67"/>
      <c r="I15" s="146">
        <f t="shared" si="0"/>
        <v>6.9885646453744365E-4</v>
      </c>
      <c r="J15" s="67"/>
      <c r="K15" s="67"/>
      <c r="L15" s="180"/>
    </row>
    <row r="16" spans="1:12" x14ac:dyDescent="0.25">
      <c r="A16" s="33" t="s">
        <v>401</v>
      </c>
      <c r="B16" s="10" t="s">
        <v>287</v>
      </c>
      <c r="C16" s="9" t="s">
        <v>20</v>
      </c>
      <c r="D16" s="164">
        <v>53.6</v>
      </c>
      <c r="E16" s="13">
        <v>8.06</v>
      </c>
      <c r="G16" s="95">
        <v>432.02</v>
      </c>
      <c r="H16" s="67"/>
      <c r="I16" s="146">
        <f t="shared" si="0"/>
        <v>4.0311895135850564E-4</v>
      </c>
      <c r="J16" s="67"/>
      <c r="K16" s="67"/>
      <c r="L16" s="180"/>
    </row>
    <row r="17" spans="1:12" x14ac:dyDescent="0.25">
      <c r="A17" s="33" t="s">
        <v>402</v>
      </c>
      <c r="B17" s="10" t="s">
        <v>25</v>
      </c>
      <c r="C17" s="9" t="s">
        <v>26</v>
      </c>
      <c r="D17" s="164">
        <v>40</v>
      </c>
      <c r="E17" s="13">
        <v>22.24</v>
      </c>
      <c r="G17" s="95">
        <f>D17*E17</f>
        <v>889.59999999999991</v>
      </c>
      <c r="H17" s="67"/>
      <c r="I17" s="146">
        <f t="shared" si="0"/>
        <v>8.3008800316773895E-4</v>
      </c>
      <c r="J17" s="67"/>
      <c r="K17" s="67"/>
      <c r="L17" s="180"/>
    </row>
    <row r="18" spans="1:12" x14ac:dyDescent="0.25">
      <c r="A18" s="33" t="s">
        <v>403</v>
      </c>
      <c r="B18" s="10" t="s">
        <v>28</v>
      </c>
      <c r="C18" s="9" t="s">
        <v>29</v>
      </c>
      <c r="D18" s="164">
        <v>519.64300000000003</v>
      </c>
      <c r="E18" s="13">
        <v>2.6</v>
      </c>
      <c r="G18" s="95">
        <f>D18*E18</f>
        <v>1351.0718000000002</v>
      </c>
      <c r="H18" s="67"/>
      <c r="I18" s="146">
        <f t="shared" si="0"/>
        <v>1.2606885033703272E-3</v>
      </c>
      <c r="J18" s="67"/>
      <c r="K18" s="67"/>
      <c r="L18" s="180"/>
    </row>
    <row r="19" spans="1:12" x14ac:dyDescent="0.25">
      <c r="A19" s="32" t="s">
        <v>30</v>
      </c>
      <c r="B19" s="8" t="s">
        <v>31</v>
      </c>
      <c r="C19" s="9"/>
      <c r="D19" s="164"/>
      <c r="E19" s="13"/>
      <c r="G19" s="109"/>
      <c r="H19" s="143">
        <f>G20</f>
        <v>1045425.6576800001</v>
      </c>
      <c r="I19" s="145">
        <f>H19/$K$5</f>
        <v>0.97548931727058408</v>
      </c>
      <c r="J19" s="67"/>
      <c r="K19" s="67"/>
      <c r="L19" s="180"/>
    </row>
    <row r="20" spans="1:12" x14ac:dyDescent="0.25">
      <c r="A20" s="32" t="s">
        <v>32</v>
      </c>
      <c r="B20" s="8" t="s">
        <v>37</v>
      </c>
      <c r="C20" s="9"/>
      <c r="D20" s="164"/>
      <c r="E20" s="13"/>
      <c r="G20" s="109">
        <f>SUM(G21:G34)</f>
        <v>1045425.6576800001</v>
      </c>
      <c r="H20" s="67"/>
      <c r="I20" s="146">
        <f>G20/$K$5</f>
        <v>0.97548931727058408</v>
      </c>
      <c r="J20" s="67"/>
      <c r="K20" s="67"/>
      <c r="L20" s="180"/>
    </row>
    <row r="21" spans="1:12" x14ac:dyDescent="0.25">
      <c r="A21" s="33" t="s">
        <v>34</v>
      </c>
      <c r="B21" s="10" t="s">
        <v>39</v>
      </c>
      <c r="C21" s="9" t="s">
        <v>26</v>
      </c>
      <c r="D21" s="164">
        <v>160</v>
      </c>
      <c r="E21" s="13">
        <v>813.12</v>
      </c>
      <c r="G21" s="95">
        <f>D21*E21</f>
        <v>130099.2</v>
      </c>
      <c r="H21" s="67"/>
      <c r="I21" s="146">
        <f t="shared" ref="I21:I34" si="1">G21/$K$5</f>
        <v>0.12139589157117842</v>
      </c>
      <c r="J21" s="67"/>
      <c r="K21" s="67"/>
      <c r="L21" s="180"/>
    </row>
    <row r="22" spans="1:12" x14ac:dyDescent="0.25">
      <c r="A22" s="33" t="s">
        <v>465</v>
      </c>
      <c r="B22" s="10" t="s">
        <v>41</v>
      </c>
      <c r="C22" s="9" t="s">
        <v>42</v>
      </c>
      <c r="D22" s="164">
        <v>3600</v>
      </c>
      <c r="E22" s="13">
        <v>10.96</v>
      </c>
      <c r="G22" s="95">
        <f t="shared" ref="G22:G34" si="2">D22*E22</f>
        <v>39456</v>
      </c>
      <c r="H22" s="67"/>
      <c r="I22" s="146">
        <f t="shared" si="1"/>
        <v>3.6816493090137493E-2</v>
      </c>
      <c r="J22" s="67"/>
      <c r="K22" s="67"/>
      <c r="L22" s="180"/>
    </row>
    <row r="23" spans="1:12" x14ac:dyDescent="0.25">
      <c r="A23" s="33" t="s">
        <v>466</v>
      </c>
      <c r="B23" s="10" t="s">
        <v>44</v>
      </c>
      <c r="C23" s="9" t="s">
        <v>42</v>
      </c>
      <c r="D23" s="164">
        <v>5500</v>
      </c>
      <c r="E23" s="13">
        <v>12.25</v>
      </c>
      <c r="G23" s="95">
        <f t="shared" si="2"/>
        <v>67375</v>
      </c>
      <c r="H23" s="67"/>
      <c r="I23" s="146">
        <f t="shared" si="1"/>
        <v>6.2867782389193369E-2</v>
      </c>
      <c r="J23" s="67"/>
      <c r="K23" s="67"/>
      <c r="L23" s="180"/>
    </row>
    <row r="24" spans="1:12" x14ac:dyDescent="0.25">
      <c r="A24" s="33" t="s">
        <v>467</v>
      </c>
      <c r="B24" s="10" t="s">
        <v>46</v>
      </c>
      <c r="C24" s="9" t="s">
        <v>42</v>
      </c>
      <c r="D24" s="164">
        <v>5500</v>
      </c>
      <c r="E24" s="13">
        <v>11.21</v>
      </c>
      <c r="G24" s="95">
        <f t="shared" si="2"/>
        <v>61655.000000000007</v>
      </c>
      <c r="H24" s="67"/>
      <c r="I24" s="146">
        <f t="shared" si="1"/>
        <v>5.753043596594757E-2</v>
      </c>
      <c r="J24" s="67"/>
      <c r="K24" s="67"/>
      <c r="L24" s="180"/>
    </row>
    <row r="25" spans="1:12" x14ac:dyDescent="0.25">
      <c r="A25" s="33" t="s">
        <v>468</v>
      </c>
      <c r="B25" s="10" t="s">
        <v>48</v>
      </c>
      <c r="C25" s="9" t="s">
        <v>26</v>
      </c>
      <c r="D25" s="164">
        <v>369.6</v>
      </c>
      <c r="E25" s="13">
        <v>31.86</v>
      </c>
      <c r="G25" s="95">
        <f t="shared" si="2"/>
        <v>11775.456</v>
      </c>
      <c r="H25" s="67"/>
      <c r="I25" s="146">
        <f t="shared" si="1"/>
        <v>1.09877076859595E-2</v>
      </c>
      <c r="J25" s="67"/>
      <c r="K25" s="67"/>
      <c r="L25" s="180"/>
    </row>
    <row r="26" spans="1:12" x14ac:dyDescent="0.25">
      <c r="A26" s="33" t="s">
        <v>469</v>
      </c>
      <c r="B26" s="10" t="s">
        <v>50</v>
      </c>
      <c r="C26" s="9" t="s">
        <v>26</v>
      </c>
      <c r="D26" s="164">
        <v>9.24</v>
      </c>
      <c r="E26" s="13">
        <v>1141.21</v>
      </c>
      <c r="G26" s="95">
        <f t="shared" si="2"/>
        <v>10544.780400000001</v>
      </c>
      <c r="H26" s="67"/>
      <c r="I26" s="146">
        <f t="shared" si="1"/>
        <v>9.839361180393788E-3</v>
      </c>
      <c r="J26" s="67"/>
      <c r="K26" s="67"/>
      <c r="L26" s="180"/>
    </row>
    <row r="27" spans="1:12" x14ac:dyDescent="0.25">
      <c r="A27" s="33" t="s">
        <v>470</v>
      </c>
      <c r="B27" s="10" t="s">
        <v>52</v>
      </c>
      <c r="C27" s="9" t="s">
        <v>26</v>
      </c>
      <c r="D27" s="164">
        <v>9.24</v>
      </c>
      <c r="E27" s="13">
        <v>1270.69</v>
      </c>
      <c r="G27" s="95">
        <f t="shared" si="2"/>
        <v>11741.1756</v>
      </c>
      <c r="H27" s="67"/>
      <c r="I27" s="146">
        <f t="shared" si="1"/>
        <v>1.0955720558279879E-2</v>
      </c>
      <c r="J27" s="67"/>
      <c r="K27" s="67"/>
      <c r="L27" s="180"/>
    </row>
    <row r="28" spans="1:12" x14ac:dyDescent="0.25">
      <c r="A28" s="33" t="s">
        <v>471</v>
      </c>
      <c r="B28" s="10" t="s">
        <v>54</v>
      </c>
      <c r="C28" s="9" t="s">
        <v>26</v>
      </c>
      <c r="D28" s="164">
        <v>182</v>
      </c>
      <c r="E28" s="13">
        <v>1315.18</v>
      </c>
      <c r="G28" s="95">
        <f t="shared" si="2"/>
        <v>239362.76</v>
      </c>
      <c r="H28" s="67"/>
      <c r="I28" s="146">
        <f t="shared" si="1"/>
        <v>0.22334999492032237</v>
      </c>
      <c r="J28" s="67"/>
      <c r="K28" s="67"/>
      <c r="L28" s="180"/>
    </row>
    <row r="29" spans="1:12" x14ac:dyDescent="0.25">
      <c r="A29" s="33" t="s">
        <v>472</v>
      </c>
      <c r="B29" s="10" t="s">
        <v>56</v>
      </c>
      <c r="C29" s="9" t="s">
        <v>57</v>
      </c>
      <c r="D29" s="164">
        <v>222.58449999999999</v>
      </c>
      <c r="E29" s="13">
        <v>57.44</v>
      </c>
      <c r="G29" s="95">
        <f t="shared" si="2"/>
        <v>12785.25368</v>
      </c>
      <c r="H29" s="67"/>
      <c r="I29" s="146">
        <f t="shared" si="1"/>
        <v>1.1929952447419276E-2</v>
      </c>
      <c r="J29" s="67"/>
      <c r="K29" s="67"/>
      <c r="L29" s="180"/>
    </row>
    <row r="30" spans="1:12" ht="25.5" x14ac:dyDescent="0.25">
      <c r="A30" s="33" t="s">
        <v>473</v>
      </c>
      <c r="B30" s="10" t="s">
        <v>59</v>
      </c>
      <c r="C30" s="9" t="s">
        <v>20</v>
      </c>
      <c r="D30" s="164">
        <v>462</v>
      </c>
      <c r="E30" s="13">
        <v>134.62</v>
      </c>
      <c r="G30" s="95">
        <f t="shared" si="2"/>
        <v>62194.44</v>
      </c>
      <c r="H30" s="67"/>
      <c r="I30" s="146">
        <f t="shared" si="1"/>
        <v>5.8033788790170591E-2</v>
      </c>
      <c r="J30" s="67"/>
      <c r="K30" s="67"/>
      <c r="L30" s="180"/>
    </row>
    <row r="31" spans="1:12" ht="25.5" x14ac:dyDescent="0.25">
      <c r="A31" s="33" t="s">
        <v>474</v>
      </c>
      <c r="B31" s="10" t="s">
        <v>61</v>
      </c>
      <c r="C31" s="9" t="s">
        <v>26</v>
      </c>
      <c r="D31" s="164">
        <v>369.6</v>
      </c>
      <c r="E31" s="13">
        <v>72.09</v>
      </c>
      <c r="G31" s="95">
        <f t="shared" si="2"/>
        <v>26644.464000000004</v>
      </c>
      <c r="H31" s="67"/>
      <c r="I31" s="146">
        <f t="shared" si="1"/>
        <v>2.4862016543654129E-2</v>
      </c>
      <c r="J31" s="67"/>
      <c r="K31" s="67"/>
      <c r="L31" s="180"/>
    </row>
    <row r="32" spans="1:12" x14ac:dyDescent="0.25">
      <c r="A32" s="33" t="s">
        <v>475</v>
      </c>
      <c r="B32" s="10" t="s">
        <v>63</v>
      </c>
      <c r="C32" s="9" t="s">
        <v>20</v>
      </c>
      <c r="D32" s="164">
        <v>369.6</v>
      </c>
      <c r="E32" s="13">
        <v>97.43</v>
      </c>
      <c r="G32" s="95">
        <f t="shared" si="2"/>
        <v>36010.128000000004</v>
      </c>
      <c r="H32" s="67"/>
      <c r="I32" s="146">
        <f t="shared" si="1"/>
        <v>3.3601141238011119E-2</v>
      </c>
      <c r="J32" s="67"/>
      <c r="K32" s="67"/>
      <c r="L32" s="180"/>
    </row>
    <row r="33" spans="1:15" x14ac:dyDescent="0.25">
      <c r="A33" s="33" t="s">
        <v>476</v>
      </c>
      <c r="B33" s="10" t="s">
        <v>65</v>
      </c>
      <c r="C33" s="9" t="s">
        <v>42</v>
      </c>
      <c r="D33" s="164">
        <v>4000</v>
      </c>
      <c r="E33" s="13">
        <v>14.14</v>
      </c>
      <c r="G33" s="95">
        <f t="shared" si="2"/>
        <v>56560</v>
      </c>
      <c r="H33" s="67"/>
      <c r="I33" s="146">
        <f t="shared" si="1"/>
        <v>5.27762786186683E-2</v>
      </c>
      <c r="J33" s="67"/>
      <c r="K33" s="67"/>
      <c r="L33" s="180"/>
    </row>
    <row r="34" spans="1:15" x14ac:dyDescent="0.25">
      <c r="A34" s="33" t="s">
        <v>477</v>
      </c>
      <c r="B34" s="10" t="s">
        <v>67</v>
      </c>
      <c r="C34" s="9" t="s">
        <v>26</v>
      </c>
      <c r="D34" s="164">
        <v>300</v>
      </c>
      <c r="E34" s="13">
        <v>930.74</v>
      </c>
      <c r="G34" s="95">
        <f t="shared" si="2"/>
        <v>279222</v>
      </c>
      <c r="H34" s="69"/>
      <c r="I34" s="146">
        <f t="shared" si="1"/>
        <v>0.26054275227124823</v>
      </c>
      <c r="J34" s="67"/>
      <c r="K34" s="67"/>
      <c r="L34" s="180"/>
    </row>
    <row r="35" spans="1:15" x14ac:dyDescent="0.25">
      <c r="A35" s="32" t="s">
        <v>68</v>
      </c>
      <c r="B35" s="8" t="s">
        <v>69</v>
      </c>
      <c r="C35" s="9"/>
      <c r="D35" s="164"/>
      <c r="E35" s="13"/>
      <c r="G35" s="109"/>
      <c r="H35" s="143">
        <f>G36</f>
        <v>3719.04</v>
      </c>
      <c r="I35" s="145">
        <f>H35/$K$5</f>
        <v>3.4702456017321808E-3</v>
      </c>
      <c r="J35" s="67"/>
      <c r="K35" s="67"/>
      <c r="L35" s="180"/>
    </row>
    <row r="36" spans="1:15" x14ac:dyDescent="0.25">
      <c r="A36" s="32" t="s">
        <v>70</v>
      </c>
      <c r="B36" s="8" t="s">
        <v>71</v>
      </c>
      <c r="C36" s="9"/>
      <c r="D36" s="164"/>
      <c r="E36" s="13"/>
      <c r="G36" s="109">
        <f>G37</f>
        <v>3719.04</v>
      </c>
      <c r="H36" s="67"/>
      <c r="I36" s="146">
        <f>G36/$K$5</f>
        <v>3.4702456017321808E-3</v>
      </c>
      <c r="J36" s="67"/>
      <c r="K36" s="67"/>
      <c r="L36" s="180"/>
    </row>
    <row r="37" spans="1:15" ht="13.5" thickBot="1" x14ac:dyDescent="0.3">
      <c r="A37" s="34" t="s">
        <v>72</v>
      </c>
      <c r="B37" s="35" t="s">
        <v>73</v>
      </c>
      <c r="C37" s="36" t="s">
        <v>57</v>
      </c>
      <c r="D37" s="168">
        <v>96</v>
      </c>
      <c r="E37" s="37">
        <v>38.74</v>
      </c>
      <c r="F37" s="157"/>
      <c r="G37" s="96">
        <v>3719.04</v>
      </c>
      <c r="H37" s="77"/>
      <c r="I37" s="151">
        <f>G37/$K$5</f>
        <v>3.4702456017321808E-3</v>
      </c>
      <c r="J37" s="77"/>
      <c r="K37" s="77"/>
      <c r="L37" s="182"/>
    </row>
    <row r="38" spans="1:15" ht="13.5" thickBot="1" x14ac:dyDescent="0.3">
      <c r="A38" s="41"/>
      <c r="D38" s="166"/>
      <c r="E38" s="44"/>
      <c r="G38" s="97"/>
      <c r="L38" s="177"/>
      <c r="N38" s="71"/>
    </row>
    <row r="39" spans="1:15" x14ac:dyDescent="0.25">
      <c r="A39" s="25">
        <v>2</v>
      </c>
      <c r="B39" s="26" t="s">
        <v>206</v>
      </c>
      <c r="C39" s="27"/>
      <c r="D39" s="172"/>
      <c r="E39" s="29"/>
      <c r="F39" s="156"/>
      <c r="G39" s="105"/>
      <c r="H39" s="72"/>
      <c r="I39" s="27"/>
      <c r="J39" s="72"/>
      <c r="K39" s="184">
        <f>SUM(H40:H50)</f>
        <v>212923.87746500003</v>
      </c>
      <c r="L39" s="179">
        <v>1</v>
      </c>
      <c r="O39" s="65"/>
    </row>
    <row r="40" spans="1:15" x14ac:dyDescent="0.25">
      <c r="A40" s="32" t="s">
        <v>79</v>
      </c>
      <c r="B40" s="8" t="s">
        <v>208</v>
      </c>
      <c r="C40" s="9"/>
      <c r="D40" s="164"/>
      <c r="E40" s="13"/>
      <c r="G40" s="109"/>
      <c r="H40" s="143">
        <f>G41+G43+G45</f>
        <v>207217.87746500003</v>
      </c>
      <c r="I40" s="145">
        <f>H40/$K$39</f>
        <v>0.97320169035087223</v>
      </c>
      <c r="J40" s="67"/>
      <c r="K40" s="67"/>
      <c r="L40" s="187"/>
    </row>
    <row r="41" spans="1:15" x14ac:dyDescent="0.25">
      <c r="A41" s="32" t="s">
        <v>80</v>
      </c>
      <c r="B41" s="8" t="s">
        <v>71</v>
      </c>
      <c r="C41" s="9"/>
      <c r="D41" s="164"/>
      <c r="E41" s="13"/>
      <c r="G41" s="109">
        <f>G42</f>
        <v>79992</v>
      </c>
      <c r="H41" s="67"/>
      <c r="I41" s="146">
        <f>G41/$K$39</f>
        <v>0.37568355861427011</v>
      </c>
      <c r="J41" s="67"/>
      <c r="K41" s="67"/>
      <c r="L41" s="180"/>
    </row>
    <row r="42" spans="1:15" x14ac:dyDescent="0.25">
      <c r="A42" s="33" t="s">
        <v>81</v>
      </c>
      <c r="B42" s="10" t="s">
        <v>213</v>
      </c>
      <c r="C42" s="9" t="s">
        <v>26</v>
      </c>
      <c r="D42" s="164">
        <v>1200</v>
      </c>
      <c r="E42" s="13">
        <v>66.66</v>
      </c>
      <c r="G42" s="95">
        <f>D42*E42</f>
        <v>79992</v>
      </c>
      <c r="H42" s="67"/>
      <c r="I42" s="146">
        <f t="shared" ref="I42:I47" si="3">G42/$K$39</f>
        <v>0.37568355861427011</v>
      </c>
      <c r="J42" s="67"/>
      <c r="K42" s="67"/>
      <c r="L42" s="180"/>
    </row>
    <row r="43" spans="1:15" x14ac:dyDescent="0.25">
      <c r="A43" s="32" t="s">
        <v>278</v>
      </c>
      <c r="B43" s="8" t="s">
        <v>75</v>
      </c>
      <c r="C43" s="9"/>
      <c r="D43" s="164"/>
      <c r="E43" s="13"/>
      <c r="G43" s="109">
        <v>26025.119999999999</v>
      </c>
      <c r="H43" s="67"/>
      <c r="I43" s="146">
        <f t="shared" si="3"/>
        <v>0.12222734392143481</v>
      </c>
      <c r="J43" s="67"/>
      <c r="K43" s="67"/>
      <c r="L43" s="180"/>
    </row>
    <row r="44" spans="1:15" ht="25.5" x14ac:dyDescent="0.25">
      <c r="A44" s="33" t="s">
        <v>280</v>
      </c>
      <c r="B44" s="10" t="s">
        <v>77</v>
      </c>
      <c r="C44" s="9" t="s">
        <v>26</v>
      </c>
      <c r="D44" s="164">
        <v>12</v>
      </c>
      <c r="E44" s="13">
        <v>2168.7600000000002</v>
      </c>
      <c r="G44" s="95">
        <v>26025.119999999999</v>
      </c>
      <c r="H44" s="67"/>
      <c r="I44" s="146">
        <f t="shared" si="3"/>
        <v>0.12222734392143481</v>
      </c>
      <c r="J44" s="67"/>
      <c r="K44" s="67"/>
      <c r="L44" s="180"/>
    </row>
    <row r="45" spans="1:15" x14ac:dyDescent="0.25">
      <c r="A45" s="32" t="s">
        <v>530</v>
      </c>
      <c r="B45" s="8" t="s">
        <v>446</v>
      </c>
      <c r="C45" s="9"/>
      <c r="D45" s="164"/>
      <c r="E45" s="13"/>
      <c r="G45" s="109">
        <f>G46+G47</f>
        <v>101200.75746500002</v>
      </c>
      <c r="H45" s="67"/>
      <c r="I45" s="146">
        <f t="shared" si="3"/>
        <v>0.47529078781516731</v>
      </c>
      <c r="J45" s="67"/>
      <c r="K45" s="67"/>
      <c r="L45" s="180"/>
    </row>
    <row r="46" spans="1:15" ht="25.5" x14ac:dyDescent="0.25">
      <c r="A46" s="33" t="s">
        <v>531</v>
      </c>
      <c r="B46" s="10" t="s">
        <v>448</v>
      </c>
      <c r="C46" s="9" t="s">
        <v>57</v>
      </c>
      <c r="D46" s="164">
        <v>374.2835</v>
      </c>
      <c r="E46" s="13">
        <v>261.79000000000002</v>
      </c>
      <c r="G46" s="95">
        <f>D46*E46</f>
        <v>97983.677465000015</v>
      </c>
      <c r="H46" s="67"/>
      <c r="I46" s="146">
        <f t="shared" si="3"/>
        <v>0.46018172612466335</v>
      </c>
      <c r="J46" s="67"/>
      <c r="K46" s="67"/>
      <c r="L46" s="180"/>
    </row>
    <row r="47" spans="1:15" x14ac:dyDescent="0.25">
      <c r="A47" s="33" t="s">
        <v>532</v>
      </c>
      <c r="B47" s="10" t="s">
        <v>450</v>
      </c>
      <c r="C47" s="9" t="s">
        <v>23</v>
      </c>
      <c r="D47" s="164">
        <v>16.149999999999999</v>
      </c>
      <c r="E47" s="13">
        <v>199.2</v>
      </c>
      <c r="G47" s="95">
        <f>D47*E47</f>
        <v>3217.0799999999995</v>
      </c>
      <c r="H47" s="67"/>
      <c r="I47" s="146">
        <f t="shared" si="3"/>
        <v>1.5109061690503998E-2</v>
      </c>
      <c r="J47" s="67"/>
      <c r="K47" s="67"/>
      <c r="L47" s="180"/>
    </row>
    <row r="48" spans="1:15" x14ac:dyDescent="0.25">
      <c r="A48" s="32" t="s">
        <v>85</v>
      </c>
      <c r="B48" s="8" t="s">
        <v>260</v>
      </c>
      <c r="C48" s="9"/>
      <c r="D48" s="164"/>
      <c r="E48" s="13"/>
      <c r="G48" s="109"/>
      <c r="H48" s="143">
        <f>G49</f>
        <v>5706</v>
      </c>
      <c r="I48" s="145">
        <f>H48/$K$39</f>
        <v>2.6798309649127727E-2</v>
      </c>
      <c r="J48" s="67"/>
      <c r="K48" s="67"/>
      <c r="L48" s="180"/>
    </row>
    <row r="49" spans="1:14" x14ac:dyDescent="0.25">
      <c r="A49" s="32" t="s">
        <v>86</v>
      </c>
      <c r="B49" s="8" t="s">
        <v>262</v>
      </c>
      <c r="C49" s="9"/>
      <c r="D49" s="164"/>
      <c r="E49" s="13"/>
      <c r="G49" s="109">
        <v>5706</v>
      </c>
      <c r="H49" s="67"/>
      <c r="I49" s="146">
        <f>G50/$K$39</f>
        <v>2.6798309649127727E-2</v>
      </c>
      <c r="J49" s="67"/>
      <c r="K49" s="67"/>
      <c r="L49" s="180"/>
    </row>
    <row r="50" spans="1:14" ht="13.5" thickBot="1" x14ac:dyDescent="0.3">
      <c r="A50" s="34" t="s">
        <v>87</v>
      </c>
      <c r="B50" s="35" t="s">
        <v>264</v>
      </c>
      <c r="C50" s="36" t="s">
        <v>23</v>
      </c>
      <c r="D50" s="168">
        <v>9</v>
      </c>
      <c r="E50" s="37">
        <v>634</v>
      </c>
      <c r="F50" s="157"/>
      <c r="G50" s="96">
        <v>5706</v>
      </c>
      <c r="H50" s="77"/>
      <c r="I50" s="151">
        <f>G51/$K$39</f>
        <v>0</v>
      </c>
      <c r="J50" s="77"/>
      <c r="K50" s="77"/>
      <c r="L50" s="182"/>
    </row>
    <row r="52" spans="1:14" s="7" customFormat="1" ht="15" x14ac:dyDescent="0.25">
      <c r="A52" s="11"/>
      <c r="B52" s="98" t="s">
        <v>271</v>
      </c>
      <c r="C52" s="9"/>
      <c r="D52" s="99"/>
      <c r="E52" s="95"/>
      <c r="G52" s="277">
        <f>K5</f>
        <v>1071693.5994800001</v>
      </c>
      <c r="H52" s="277"/>
      <c r="I52" s="277"/>
      <c r="J52" s="277"/>
      <c r="K52" s="277"/>
      <c r="L52" s="163">
        <v>1</v>
      </c>
      <c r="N52" s="64"/>
    </row>
    <row r="53" spans="1:14" s="7" customFormat="1" ht="15" x14ac:dyDescent="0.25">
      <c r="A53" s="18"/>
      <c r="B53" s="98" t="s">
        <v>272</v>
      </c>
      <c r="C53" s="18"/>
      <c r="D53" s="144"/>
      <c r="E53" s="132"/>
      <c r="G53" s="277">
        <f>K39</f>
        <v>212923.87746500003</v>
      </c>
      <c r="H53" s="277"/>
      <c r="I53" s="277"/>
      <c r="J53" s="277"/>
      <c r="K53" s="277"/>
      <c r="L53" s="163">
        <v>1</v>
      </c>
      <c r="N53" s="64"/>
    </row>
    <row r="54" spans="1:14" s="7" customFormat="1" ht="15" x14ac:dyDescent="0.25">
      <c r="A54" s="18"/>
      <c r="B54" s="98" t="s">
        <v>270</v>
      </c>
      <c r="C54" s="18"/>
      <c r="D54" s="144"/>
      <c r="E54" s="132"/>
      <c r="G54" s="277">
        <f>G52+G53</f>
        <v>1284617.4769450002</v>
      </c>
      <c r="H54" s="277"/>
      <c r="I54" s="277"/>
      <c r="J54" s="277"/>
      <c r="K54" s="277"/>
      <c r="L54" s="126"/>
      <c r="N54" s="64"/>
    </row>
  </sheetData>
  <mergeCells count="5">
    <mergeCell ref="G3:L3"/>
    <mergeCell ref="G4:H4"/>
    <mergeCell ref="G52:K52"/>
    <mergeCell ref="G53:K53"/>
    <mergeCell ref="G54:K54"/>
  </mergeCells>
  <pageMargins left="0.511811024" right="0.511811024" top="0.78740157499999996" bottom="0.78740157499999996" header="0.31496062000000002" footer="0.31496062000000002"/>
  <pageSetup paperSize="8" scale="80" fitToHeight="0" orientation="landscape" horizontalDpi="1200" verticalDpi="1200" r:id="rId1"/>
  <ignoredErrors>
    <ignoredError sqref="I19 I35"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333D9-A300-487B-8D0B-41D7C1EA9D85}">
  <sheetPr>
    <pageSetUpPr fitToPage="1"/>
  </sheetPr>
  <dimension ref="A1:L64"/>
  <sheetViews>
    <sheetView workbookViewId="0">
      <pane ySplit="4" topLeftCell="A38" activePane="bottomLeft" state="frozen"/>
      <selection pane="bottomLeft" activeCell="B70" sqref="B70"/>
    </sheetView>
  </sheetViews>
  <sheetFormatPr defaultColWidth="9.140625" defaultRowHeight="12.75" x14ac:dyDescent="0.25"/>
  <cols>
    <col min="1" max="1" width="18.7109375" style="63" customWidth="1"/>
    <col min="2" max="2" width="126.85546875" style="41" customWidth="1"/>
    <col min="3" max="3" width="6.7109375" style="42" customWidth="1"/>
    <col min="4" max="4" width="10.7109375" style="43" customWidth="1"/>
    <col min="5" max="5" width="17.140625" style="61" customWidth="1"/>
    <col min="6" max="6" width="2" style="62" customWidth="1"/>
    <col min="7" max="7" width="15.5703125" style="188" bestFit="1" customWidth="1"/>
    <col min="8" max="8" width="15.5703125" style="42" bestFit="1" customWidth="1"/>
    <col min="9" max="9" width="19.140625" style="42" customWidth="1"/>
    <col min="10" max="10" width="0.85546875" style="42" customWidth="1"/>
    <col min="11" max="11" width="17.7109375" style="42" customWidth="1"/>
    <col min="12" max="12" width="9.140625" style="42"/>
    <col min="13" max="16384" width="9.140625" style="62"/>
  </cols>
  <sheetData>
    <row r="1" spans="1:12" x14ac:dyDescent="0.25">
      <c r="A1" s="59" t="s">
        <v>4</v>
      </c>
    </row>
    <row r="3" spans="1:12" x14ac:dyDescent="0.25">
      <c r="A3" s="59" t="s">
        <v>537</v>
      </c>
      <c r="G3" s="294" t="s">
        <v>11</v>
      </c>
      <c r="H3" s="294"/>
      <c r="I3" s="294"/>
      <c r="J3" s="294"/>
      <c r="K3" s="294"/>
      <c r="L3" s="294"/>
    </row>
    <row r="4" spans="1:12" ht="13.5" thickBot="1" x14ac:dyDescent="0.3">
      <c r="A4" s="46" t="s">
        <v>6</v>
      </c>
      <c r="B4" s="47" t="s">
        <v>7</v>
      </c>
      <c r="C4" s="46" t="s">
        <v>8</v>
      </c>
      <c r="D4" s="48" t="s">
        <v>9</v>
      </c>
      <c r="E4" s="178" t="s">
        <v>10</v>
      </c>
      <c r="G4" s="295" t="s">
        <v>273</v>
      </c>
      <c r="H4" s="296"/>
      <c r="I4" s="104" t="s">
        <v>275</v>
      </c>
      <c r="J4" s="141"/>
      <c r="K4" s="93" t="s">
        <v>274</v>
      </c>
      <c r="L4" s="104" t="s">
        <v>12</v>
      </c>
    </row>
    <row r="5" spans="1:12" x14ac:dyDescent="0.25">
      <c r="A5" s="25">
        <v>1</v>
      </c>
      <c r="B5" s="26" t="s">
        <v>538</v>
      </c>
      <c r="C5" s="27"/>
      <c r="D5" s="172"/>
      <c r="E5" s="29"/>
      <c r="F5" s="156"/>
      <c r="G5" s="120"/>
      <c r="H5" s="193"/>
      <c r="I5" s="193"/>
      <c r="J5" s="27"/>
      <c r="K5" s="82">
        <f>SUM(H5:H14)</f>
        <v>504489.82</v>
      </c>
      <c r="L5" s="160">
        <f>K5/$G$62</f>
        <v>0.12753313503472979</v>
      </c>
    </row>
    <row r="6" spans="1:12" x14ac:dyDescent="0.25">
      <c r="A6" s="32" t="s">
        <v>14</v>
      </c>
      <c r="B6" s="8" t="s">
        <v>15</v>
      </c>
      <c r="C6" s="9"/>
      <c r="D6" s="164"/>
      <c r="E6" s="13"/>
      <c r="G6" s="126"/>
      <c r="H6" s="189">
        <f>G7</f>
        <v>17695.419999999998</v>
      </c>
      <c r="I6" s="145">
        <f>H6/$K$5</f>
        <v>3.507587130301261E-2</v>
      </c>
      <c r="J6" s="9"/>
      <c r="K6" s="19"/>
      <c r="L6" s="194"/>
    </row>
    <row r="7" spans="1:12" x14ac:dyDescent="0.25">
      <c r="A7" s="32" t="s">
        <v>16</v>
      </c>
      <c r="B7" s="8" t="s">
        <v>17</v>
      </c>
      <c r="C7" s="9"/>
      <c r="D7" s="164"/>
      <c r="E7" s="13"/>
      <c r="G7" s="126">
        <f>SUM(G8:G11)</f>
        <v>17695.419999999998</v>
      </c>
      <c r="H7" s="152"/>
      <c r="I7" s="146">
        <f>G7/$K$5</f>
        <v>3.507587130301261E-2</v>
      </c>
      <c r="J7" s="9"/>
      <c r="K7" s="19"/>
      <c r="L7" s="194"/>
    </row>
    <row r="8" spans="1:12" x14ac:dyDescent="0.25">
      <c r="A8" s="33" t="s">
        <v>18</v>
      </c>
      <c r="B8" s="10" t="s">
        <v>19</v>
      </c>
      <c r="C8" s="9" t="s">
        <v>20</v>
      </c>
      <c r="D8" s="164">
        <v>645</v>
      </c>
      <c r="E8" s="13">
        <v>4.38</v>
      </c>
      <c r="G8" s="175">
        <v>2825.1</v>
      </c>
      <c r="H8" s="152"/>
      <c r="I8" s="146">
        <f t="shared" ref="I8:I11" si="0">G8/$K$5</f>
        <v>5.5999147812338407E-3</v>
      </c>
      <c r="J8" s="9"/>
      <c r="K8" s="19"/>
      <c r="L8" s="194"/>
    </row>
    <row r="9" spans="1:12" x14ac:dyDescent="0.25">
      <c r="A9" s="33" t="s">
        <v>21</v>
      </c>
      <c r="B9" s="10" t="s">
        <v>22</v>
      </c>
      <c r="C9" s="9" t="s">
        <v>23</v>
      </c>
      <c r="D9" s="164">
        <v>16.13</v>
      </c>
      <c r="E9" s="13">
        <v>217.25</v>
      </c>
      <c r="G9" s="175">
        <v>3503.16</v>
      </c>
      <c r="H9" s="152"/>
      <c r="I9" s="146">
        <f t="shared" si="0"/>
        <v>6.9439656879498575E-3</v>
      </c>
      <c r="J9" s="9"/>
      <c r="K9" s="19"/>
      <c r="L9" s="194"/>
    </row>
    <row r="10" spans="1:12" x14ac:dyDescent="0.25">
      <c r="A10" s="33" t="s">
        <v>24</v>
      </c>
      <c r="B10" s="10" t="s">
        <v>25</v>
      </c>
      <c r="C10" s="9" t="s">
        <v>26</v>
      </c>
      <c r="D10" s="164">
        <v>193.5</v>
      </c>
      <c r="E10" s="13">
        <v>17.54</v>
      </c>
      <c r="G10" s="175">
        <v>3393.99</v>
      </c>
      <c r="H10" s="152"/>
      <c r="I10" s="146">
        <f t="shared" si="0"/>
        <v>6.7275688536192852E-3</v>
      </c>
      <c r="J10" s="9"/>
      <c r="K10" s="19"/>
      <c r="L10" s="194"/>
    </row>
    <row r="11" spans="1:12" x14ac:dyDescent="0.25">
      <c r="A11" s="33" t="s">
        <v>27</v>
      </c>
      <c r="B11" s="10" t="s">
        <v>28</v>
      </c>
      <c r="C11" s="9" t="s">
        <v>29</v>
      </c>
      <c r="D11" s="164">
        <v>3889.35</v>
      </c>
      <c r="E11" s="13">
        <v>2.0499999999999998</v>
      </c>
      <c r="G11" s="175">
        <v>7973.17</v>
      </c>
      <c r="H11" s="152"/>
      <c r="I11" s="146">
        <f t="shared" si="0"/>
        <v>1.5804421980209631E-2</v>
      </c>
      <c r="J11" s="9"/>
      <c r="K11" s="19"/>
      <c r="L11" s="194"/>
    </row>
    <row r="12" spans="1:12" x14ac:dyDescent="0.25">
      <c r="A12" s="32" t="s">
        <v>30</v>
      </c>
      <c r="B12" s="8" t="s">
        <v>31</v>
      </c>
      <c r="C12" s="9"/>
      <c r="D12" s="164"/>
      <c r="E12" s="13"/>
      <c r="G12" s="126"/>
      <c r="H12" s="189">
        <f>G13</f>
        <v>486794.4</v>
      </c>
      <c r="I12" s="145">
        <f>H12/$K$5</f>
        <v>0.9649241286969874</v>
      </c>
      <c r="J12" s="9"/>
      <c r="K12" s="19"/>
      <c r="L12" s="194"/>
    </row>
    <row r="13" spans="1:12" x14ac:dyDescent="0.25">
      <c r="A13" s="32" t="s">
        <v>32</v>
      </c>
      <c r="B13" s="8" t="s">
        <v>33</v>
      </c>
      <c r="C13" s="9"/>
      <c r="D13" s="164"/>
      <c r="E13" s="13"/>
      <c r="G13" s="126">
        <f>G14</f>
        <v>486794.4</v>
      </c>
      <c r="H13" s="152"/>
      <c r="I13" s="146">
        <f>G13/$K$5</f>
        <v>0.9649241286969874</v>
      </c>
      <c r="J13" s="9"/>
      <c r="K13" s="19"/>
      <c r="L13" s="194"/>
    </row>
    <row r="14" spans="1:12" ht="25.5" x14ac:dyDescent="0.25">
      <c r="A14" s="33" t="s">
        <v>34</v>
      </c>
      <c r="B14" s="10" t="s">
        <v>35</v>
      </c>
      <c r="C14" s="9" t="s">
        <v>20</v>
      </c>
      <c r="D14" s="164">
        <v>645</v>
      </c>
      <c r="E14" s="13">
        <v>754.72</v>
      </c>
      <c r="G14" s="175">
        <v>486794.4</v>
      </c>
      <c r="H14" s="152"/>
      <c r="I14" s="146">
        <f>G14/$K$5</f>
        <v>0.9649241286969874</v>
      </c>
      <c r="J14" s="9"/>
      <c r="K14" s="19"/>
      <c r="L14" s="194"/>
    </row>
    <row r="15" spans="1:12" x14ac:dyDescent="0.25">
      <c r="A15" s="33"/>
      <c r="B15" s="10"/>
      <c r="C15" s="9"/>
      <c r="D15" s="164"/>
      <c r="E15" s="13"/>
      <c r="G15" s="175"/>
      <c r="H15" s="152"/>
      <c r="I15" s="145"/>
      <c r="J15" s="9"/>
      <c r="K15" s="19"/>
      <c r="L15" s="194"/>
    </row>
    <row r="16" spans="1:12" x14ac:dyDescent="0.25">
      <c r="A16" s="32">
        <v>2</v>
      </c>
      <c r="B16" s="8" t="s">
        <v>539</v>
      </c>
      <c r="C16" s="9"/>
      <c r="D16" s="164"/>
      <c r="E16" s="13"/>
      <c r="G16" s="126"/>
      <c r="H16" s="152"/>
      <c r="I16" s="152"/>
      <c r="J16" s="9"/>
      <c r="K16" s="19">
        <f>SUM(H17:H45)</f>
        <v>2693265.81</v>
      </c>
      <c r="L16" s="169">
        <f>K16/$G$62</f>
        <v>0.68084749902614672</v>
      </c>
    </row>
    <row r="17" spans="1:12" x14ac:dyDescent="0.25">
      <c r="A17" s="32" t="s">
        <v>79</v>
      </c>
      <c r="B17" s="8" t="s">
        <v>15</v>
      </c>
      <c r="C17" s="9"/>
      <c r="D17" s="164"/>
      <c r="E17" s="13"/>
      <c r="G17" s="126"/>
      <c r="H17" s="189">
        <f>G18</f>
        <v>89190.37</v>
      </c>
      <c r="I17" s="145">
        <f>H17/$K$16</f>
        <v>3.3116066623962374E-2</v>
      </c>
      <c r="J17" s="9"/>
      <c r="K17" s="19"/>
      <c r="L17" s="194"/>
    </row>
    <row r="18" spans="1:12" x14ac:dyDescent="0.25">
      <c r="A18" s="32" t="s">
        <v>80</v>
      </c>
      <c r="B18" s="8" t="s">
        <v>17</v>
      </c>
      <c r="C18" s="9"/>
      <c r="D18" s="164"/>
      <c r="E18" s="13"/>
      <c r="G18" s="126">
        <f>SUM(G19:G22)</f>
        <v>89190.37</v>
      </c>
      <c r="H18" s="152"/>
      <c r="I18" s="146">
        <f>G18/$K$16</f>
        <v>3.3116066623962374E-2</v>
      </c>
      <c r="J18" s="9"/>
      <c r="K18" s="19"/>
      <c r="L18" s="194"/>
    </row>
    <row r="19" spans="1:12" x14ac:dyDescent="0.25">
      <c r="A19" s="33" t="s">
        <v>81</v>
      </c>
      <c r="B19" s="10" t="s">
        <v>19</v>
      </c>
      <c r="C19" s="9" t="s">
        <v>20</v>
      </c>
      <c r="D19" s="164">
        <v>3251</v>
      </c>
      <c r="E19" s="13">
        <v>4.38</v>
      </c>
      <c r="G19" s="175">
        <v>14239.38</v>
      </c>
      <c r="H19" s="152"/>
      <c r="I19" s="146">
        <f t="shared" ref="I19:I22" si="1">G19/$K$16</f>
        <v>5.2870310635993257E-3</v>
      </c>
      <c r="J19" s="9"/>
      <c r="K19" s="19"/>
      <c r="L19" s="194"/>
    </row>
    <row r="20" spans="1:12" x14ac:dyDescent="0.25">
      <c r="A20" s="33" t="s">
        <v>82</v>
      </c>
      <c r="B20" s="10" t="s">
        <v>22</v>
      </c>
      <c r="C20" s="9" t="s">
        <v>23</v>
      </c>
      <c r="D20" s="164">
        <v>81.28</v>
      </c>
      <c r="E20" s="13">
        <v>217.25</v>
      </c>
      <c r="G20" s="175">
        <v>17656.990000000002</v>
      </c>
      <c r="H20" s="152"/>
      <c r="I20" s="146">
        <f t="shared" si="1"/>
        <v>6.5559774807374101E-3</v>
      </c>
      <c r="J20" s="9"/>
      <c r="K20" s="19"/>
      <c r="L20" s="194"/>
    </row>
    <row r="21" spans="1:12" x14ac:dyDescent="0.25">
      <c r="A21" s="33" t="s">
        <v>83</v>
      </c>
      <c r="B21" s="10" t="s">
        <v>25</v>
      </c>
      <c r="C21" s="9" t="s">
        <v>26</v>
      </c>
      <c r="D21" s="164">
        <v>975.3</v>
      </c>
      <c r="E21" s="13">
        <v>17.54</v>
      </c>
      <c r="G21" s="175">
        <v>17106.759999999998</v>
      </c>
      <c r="H21" s="152"/>
      <c r="I21" s="146">
        <f t="shared" si="1"/>
        <v>6.3516790420326159E-3</v>
      </c>
      <c r="J21" s="9"/>
      <c r="K21" s="19"/>
      <c r="L21" s="194"/>
    </row>
    <row r="22" spans="1:12" x14ac:dyDescent="0.25">
      <c r="A22" s="33" t="s">
        <v>84</v>
      </c>
      <c r="B22" s="10" t="s">
        <v>28</v>
      </c>
      <c r="C22" s="9" t="s">
        <v>29</v>
      </c>
      <c r="D22" s="164">
        <v>19603.53</v>
      </c>
      <c r="E22" s="13">
        <v>2.0499999999999998</v>
      </c>
      <c r="G22" s="175">
        <v>40187.24</v>
      </c>
      <c r="H22" s="152"/>
      <c r="I22" s="146">
        <f t="shared" si="1"/>
        <v>1.4921379037593024E-2</v>
      </c>
      <c r="J22" s="9"/>
      <c r="K22" s="19"/>
      <c r="L22" s="194"/>
    </row>
    <row r="23" spans="1:12" x14ac:dyDescent="0.25">
      <c r="A23" s="32" t="s">
        <v>85</v>
      </c>
      <c r="B23" s="8" t="s">
        <v>31</v>
      </c>
      <c r="C23" s="9"/>
      <c r="D23" s="164"/>
      <c r="E23" s="13"/>
      <c r="G23" s="126"/>
      <c r="H23" s="189">
        <f>G24+G26</f>
        <v>2580640.71</v>
      </c>
      <c r="I23" s="145">
        <f>H23/$K$16</f>
        <v>0.9581827016175577</v>
      </c>
      <c r="J23" s="9"/>
      <c r="K23" s="19"/>
      <c r="L23" s="194"/>
    </row>
    <row r="24" spans="1:12" x14ac:dyDescent="0.25">
      <c r="A24" s="32" t="s">
        <v>86</v>
      </c>
      <c r="B24" s="8" t="s">
        <v>33</v>
      </c>
      <c r="C24" s="9"/>
      <c r="D24" s="164"/>
      <c r="E24" s="13"/>
      <c r="G24" s="126">
        <f>G25</f>
        <v>2387934.08</v>
      </c>
      <c r="H24" s="191"/>
      <c r="I24" s="146">
        <f>G24/$K$16</f>
        <v>0.88663141645124144</v>
      </c>
      <c r="J24" s="9"/>
      <c r="K24" s="19"/>
      <c r="L24" s="194"/>
    </row>
    <row r="25" spans="1:12" ht="25.5" x14ac:dyDescent="0.25">
      <c r="A25" s="33" t="s">
        <v>87</v>
      </c>
      <c r="B25" s="10" t="s">
        <v>35</v>
      </c>
      <c r="C25" s="9" t="s">
        <v>20</v>
      </c>
      <c r="D25" s="164">
        <v>3164</v>
      </c>
      <c r="E25" s="13">
        <v>754.72</v>
      </c>
      <c r="G25" s="175">
        <v>2387934.08</v>
      </c>
      <c r="H25" s="152"/>
      <c r="I25" s="146">
        <f t="shared" ref="I25:I40" si="2">G25/$K$16</f>
        <v>0.88663141645124144</v>
      </c>
      <c r="J25" s="9"/>
      <c r="K25" s="19"/>
      <c r="L25" s="194"/>
    </row>
    <row r="26" spans="1:12" x14ac:dyDescent="0.25">
      <c r="A26" s="32" t="s">
        <v>88</v>
      </c>
      <c r="B26" s="8" t="s">
        <v>37</v>
      </c>
      <c r="C26" s="9"/>
      <c r="D26" s="164"/>
      <c r="E26" s="13"/>
      <c r="G26" s="126">
        <f>SUM(G27:G40)</f>
        <v>192706.63</v>
      </c>
      <c r="H26" s="152"/>
      <c r="I26" s="146">
        <f t="shared" si="2"/>
        <v>7.1551285166316356E-2</v>
      </c>
      <c r="J26" s="9"/>
      <c r="K26" s="19"/>
      <c r="L26" s="194"/>
    </row>
    <row r="27" spans="1:12" x14ac:dyDescent="0.25">
      <c r="A27" s="33" t="s">
        <v>89</v>
      </c>
      <c r="B27" s="10" t="s">
        <v>39</v>
      </c>
      <c r="C27" s="9" t="s">
        <v>26</v>
      </c>
      <c r="D27" s="164">
        <v>34.799999999999997</v>
      </c>
      <c r="E27" s="13">
        <v>641.26</v>
      </c>
      <c r="G27" s="175">
        <v>22315.85</v>
      </c>
      <c r="H27" s="152"/>
      <c r="I27" s="146">
        <f t="shared" si="2"/>
        <v>8.2857956006949039E-3</v>
      </c>
      <c r="J27" s="9"/>
      <c r="K27" s="19"/>
      <c r="L27" s="194"/>
    </row>
    <row r="28" spans="1:12" x14ac:dyDescent="0.25">
      <c r="A28" s="33" t="s">
        <v>90</v>
      </c>
      <c r="B28" s="10" t="s">
        <v>41</v>
      </c>
      <c r="C28" s="9" t="s">
        <v>42</v>
      </c>
      <c r="D28" s="164">
        <v>870</v>
      </c>
      <c r="E28" s="13">
        <v>8.64</v>
      </c>
      <c r="G28" s="175">
        <v>7516.8</v>
      </c>
      <c r="H28" s="152"/>
      <c r="I28" s="146">
        <f t="shared" si="2"/>
        <v>2.7909610600225158E-3</v>
      </c>
      <c r="J28" s="9"/>
      <c r="K28" s="19"/>
      <c r="L28" s="194"/>
    </row>
    <row r="29" spans="1:12" x14ac:dyDescent="0.25">
      <c r="A29" s="33" t="s">
        <v>91</v>
      </c>
      <c r="B29" s="10" t="s">
        <v>44</v>
      </c>
      <c r="C29" s="9" t="s">
        <v>42</v>
      </c>
      <c r="D29" s="164">
        <v>1566</v>
      </c>
      <c r="E29" s="13">
        <v>9.66</v>
      </c>
      <c r="G29" s="175">
        <v>15127.56</v>
      </c>
      <c r="H29" s="152"/>
      <c r="I29" s="146">
        <f t="shared" si="2"/>
        <v>5.6168091332953127E-3</v>
      </c>
      <c r="J29" s="9"/>
      <c r="K29" s="19"/>
      <c r="L29" s="194"/>
    </row>
    <row r="30" spans="1:12" x14ac:dyDescent="0.25">
      <c r="A30" s="33" t="s">
        <v>92</v>
      </c>
      <c r="B30" s="10" t="s">
        <v>46</v>
      </c>
      <c r="C30" s="9" t="s">
        <v>42</v>
      </c>
      <c r="D30" s="164">
        <v>1566</v>
      </c>
      <c r="E30" s="13">
        <v>8.84</v>
      </c>
      <c r="G30" s="175">
        <v>13843.44</v>
      </c>
      <c r="H30" s="152"/>
      <c r="I30" s="146">
        <f t="shared" si="2"/>
        <v>5.1400199522081335E-3</v>
      </c>
      <c r="J30" s="9"/>
      <c r="K30" s="19"/>
      <c r="L30" s="194"/>
    </row>
    <row r="31" spans="1:12" x14ac:dyDescent="0.25">
      <c r="A31" s="33" t="s">
        <v>93</v>
      </c>
      <c r="B31" s="10" t="s">
        <v>48</v>
      </c>
      <c r="C31" s="9" t="s">
        <v>26</v>
      </c>
      <c r="D31" s="164">
        <v>69.599999999999994</v>
      </c>
      <c r="E31" s="13">
        <v>25.13</v>
      </c>
      <c r="G31" s="175">
        <v>1749.05</v>
      </c>
      <c r="H31" s="152"/>
      <c r="I31" s="146">
        <f t="shared" si="2"/>
        <v>6.4941603368885443E-4</v>
      </c>
      <c r="J31" s="9"/>
      <c r="K31" s="19"/>
      <c r="L31" s="194"/>
    </row>
    <row r="32" spans="1:12" x14ac:dyDescent="0.25">
      <c r="A32" s="33" t="s">
        <v>94</v>
      </c>
      <c r="B32" s="10" t="s">
        <v>50</v>
      </c>
      <c r="C32" s="9" t="s">
        <v>26</v>
      </c>
      <c r="D32" s="164">
        <v>1.74</v>
      </c>
      <c r="E32" s="13">
        <v>900.01</v>
      </c>
      <c r="G32" s="175">
        <v>1566.02</v>
      </c>
      <c r="H32" s="152"/>
      <c r="I32" s="146">
        <f t="shared" si="2"/>
        <v>5.8145764676677042E-4</v>
      </c>
      <c r="J32" s="9"/>
      <c r="K32" s="19"/>
      <c r="L32" s="194"/>
    </row>
    <row r="33" spans="1:12" x14ac:dyDescent="0.25">
      <c r="A33" s="33" t="s">
        <v>95</v>
      </c>
      <c r="B33" s="10" t="s">
        <v>52</v>
      </c>
      <c r="C33" s="9" t="s">
        <v>26</v>
      </c>
      <c r="D33" s="164">
        <v>1.74</v>
      </c>
      <c r="E33" s="13">
        <v>1002.12</v>
      </c>
      <c r="G33" s="175">
        <v>1743.69</v>
      </c>
      <c r="H33" s="152"/>
      <c r="I33" s="146">
        <f t="shared" si="2"/>
        <v>6.4742588478483673E-4</v>
      </c>
      <c r="J33" s="9"/>
      <c r="K33" s="19"/>
      <c r="L33" s="194"/>
    </row>
    <row r="34" spans="1:12" x14ac:dyDescent="0.25">
      <c r="A34" s="33" t="s">
        <v>96</v>
      </c>
      <c r="B34" s="10" t="s">
        <v>54</v>
      </c>
      <c r="C34" s="9" t="s">
        <v>26</v>
      </c>
      <c r="D34" s="164">
        <v>43.5</v>
      </c>
      <c r="E34" s="13">
        <v>1037.21</v>
      </c>
      <c r="G34" s="175">
        <v>45118.64</v>
      </c>
      <c r="H34" s="152"/>
      <c r="I34" s="146">
        <f t="shared" si="2"/>
        <v>1.6752390288576825E-2</v>
      </c>
      <c r="J34" s="9"/>
      <c r="K34" s="19"/>
      <c r="L34" s="194"/>
    </row>
    <row r="35" spans="1:12" x14ac:dyDescent="0.25">
      <c r="A35" s="33" t="s">
        <v>97</v>
      </c>
      <c r="B35" s="10" t="s">
        <v>56</v>
      </c>
      <c r="C35" s="9" t="s">
        <v>57</v>
      </c>
      <c r="D35" s="164">
        <v>43.5</v>
      </c>
      <c r="E35" s="13">
        <v>45.3</v>
      </c>
      <c r="G35" s="175">
        <v>1970.55</v>
      </c>
      <c r="H35" s="152"/>
      <c r="I35" s="146">
        <f t="shared" si="2"/>
        <v>7.3165819455451371E-4</v>
      </c>
      <c r="J35" s="9"/>
      <c r="K35" s="19"/>
      <c r="L35" s="194"/>
    </row>
    <row r="36" spans="1:12" x14ac:dyDescent="0.25">
      <c r="A36" s="33" t="s">
        <v>98</v>
      </c>
      <c r="B36" s="10" t="s">
        <v>59</v>
      </c>
      <c r="C36" s="9" t="s">
        <v>20</v>
      </c>
      <c r="D36" s="164">
        <v>87</v>
      </c>
      <c r="E36" s="13">
        <v>106.17</v>
      </c>
      <c r="G36" s="175">
        <v>9236.7900000000009</v>
      </c>
      <c r="H36" s="152"/>
      <c r="I36" s="146">
        <f t="shared" si="2"/>
        <v>3.4295872192429458E-3</v>
      </c>
      <c r="J36" s="9"/>
      <c r="K36" s="19"/>
      <c r="L36" s="194"/>
    </row>
    <row r="37" spans="1:12" x14ac:dyDescent="0.25">
      <c r="A37" s="33" t="s">
        <v>99</v>
      </c>
      <c r="B37" s="10" t="s">
        <v>61</v>
      </c>
      <c r="C37" s="9" t="s">
        <v>26</v>
      </c>
      <c r="D37" s="164">
        <v>69.599999999999994</v>
      </c>
      <c r="E37" s="13">
        <v>56.85</v>
      </c>
      <c r="G37" s="175">
        <v>3956.76</v>
      </c>
      <c r="H37" s="152"/>
      <c r="I37" s="146">
        <f t="shared" si="2"/>
        <v>1.4691308913174078E-3</v>
      </c>
      <c r="J37" s="9"/>
      <c r="K37" s="19"/>
      <c r="L37" s="194"/>
    </row>
    <row r="38" spans="1:12" x14ac:dyDescent="0.25">
      <c r="A38" s="33" t="s">
        <v>100</v>
      </c>
      <c r="B38" s="10" t="s">
        <v>63</v>
      </c>
      <c r="C38" s="9" t="s">
        <v>20</v>
      </c>
      <c r="D38" s="164">
        <v>69.599999999999994</v>
      </c>
      <c r="E38" s="13">
        <v>76.84</v>
      </c>
      <c r="G38" s="175">
        <v>5348.06</v>
      </c>
      <c r="H38" s="152"/>
      <c r="I38" s="146">
        <f t="shared" si="2"/>
        <v>1.9857156245561966E-3</v>
      </c>
      <c r="J38" s="9"/>
      <c r="K38" s="19"/>
      <c r="L38" s="194"/>
    </row>
    <row r="39" spans="1:12" x14ac:dyDescent="0.25">
      <c r="A39" s="33" t="s">
        <v>101</v>
      </c>
      <c r="B39" s="10" t="s">
        <v>65</v>
      </c>
      <c r="C39" s="9" t="s">
        <v>42</v>
      </c>
      <c r="D39" s="164">
        <v>1087.5</v>
      </c>
      <c r="E39" s="13">
        <v>11.15</v>
      </c>
      <c r="G39" s="175">
        <v>12125.63</v>
      </c>
      <c r="H39" s="152"/>
      <c r="I39" s="146">
        <f t="shared" si="2"/>
        <v>4.5022032192210534E-3</v>
      </c>
      <c r="J39" s="9"/>
      <c r="K39" s="19"/>
      <c r="L39" s="194"/>
    </row>
    <row r="40" spans="1:12" x14ac:dyDescent="0.25">
      <c r="A40" s="33" t="s">
        <v>102</v>
      </c>
      <c r="B40" s="10" t="s">
        <v>67</v>
      </c>
      <c r="C40" s="9" t="s">
        <v>26</v>
      </c>
      <c r="D40" s="164">
        <v>69.599999999999994</v>
      </c>
      <c r="E40" s="13">
        <v>734.02</v>
      </c>
      <c r="G40" s="175">
        <v>51087.79</v>
      </c>
      <c r="H40" s="152"/>
      <c r="I40" s="146">
        <f t="shared" si="2"/>
        <v>1.8968714417386082E-2</v>
      </c>
      <c r="J40" s="9"/>
      <c r="K40" s="19"/>
      <c r="L40" s="194"/>
    </row>
    <row r="41" spans="1:12" x14ac:dyDescent="0.25">
      <c r="A41" s="32" t="s">
        <v>103</v>
      </c>
      <c r="B41" s="8" t="s">
        <v>69</v>
      </c>
      <c r="C41" s="9"/>
      <c r="D41" s="164"/>
      <c r="E41" s="13"/>
      <c r="G41" s="126"/>
      <c r="H41" s="189">
        <f>G42+G44</f>
        <v>23434.73</v>
      </c>
      <c r="I41" s="145">
        <f>H41/$K$16</f>
        <v>8.701231758479866E-3</v>
      </c>
      <c r="J41" s="9"/>
      <c r="K41" s="19"/>
      <c r="L41" s="194"/>
    </row>
    <row r="42" spans="1:12" x14ac:dyDescent="0.25">
      <c r="A42" s="32" t="s">
        <v>104</v>
      </c>
      <c r="B42" s="8" t="s">
        <v>71</v>
      </c>
      <c r="C42" s="9"/>
      <c r="D42" s="164"/>
      <c r="E42" s="13"/>
      <c r="G42" s="126">
        <f>G43</f>
        <v>10264.799999999999</v>
      </c>
      <c r="H42" s="152"/>
      <c r="I42" s="146">
        <f>G42/$K$16</f>
        <v>3.8112836697689334E-3</v>
      </c>
      <c r="J42" s="9"/>
      <c r="K42" s="19"/>
      <c r="L42" s="194"/>
    </row>
    <row r="43" spans="1:12" x14ac:dyDescent="0.25">
      <c r="A43" s="33" t="s">
        <v>105</v>
      </c>
      <c r="B43" s="10" t="s">
        <v>73</v>
      </c>
      <c r="C43" s="9" t="s">
        <v>57</v>
      </c>
      <c r="D43" s="164">
        <v>336</v>
      </c>
      <c r="E43" s="13">
        <v>30.55</v>
      </c>
      <c r="G43" s="175">
        <v>10264.799999999999</v>
      </c>
      <c r="H43" s="152"/>
      <c r="I43" s="146">
        <f t="shared" ref="I43:I45" si="3">G43/$K$16</f>
        <v>3.8112836697689334E-3</v>
      </c>
      <c r="J43" s="9"/>
      <c r="K43" s="19"/>
      <c r="L43" s="194"/>
    </row>
    <row r="44" spans="1:12" x14ac:dyDescent="0.25">
      <c r="A44" s="32" t="s">
        <v>106</v>
      </c>
      <c r="B44" s="8" t="s">
        <v>75</v>
      </c>
      <c r="C44" s="9"/>
      <c r="D44" s="164"/>
      <c r="E44" s="13"/>
      <c r="G44" s="126">
        <f>G45</f>
        <v>13169.93</v>
      </c>
      <c r="H44" s="152"/>
      <c r="I44" s="146">
        <f t="shared" si="3"/>
        <v>4.8899480887109317E-3</v>
      </c>
      <c r="J44" s="9"/>
      <c r="K44" s="19"/>
      <c r="L44" s="194"/>
    </row>
    <row r="45" spans="1:12" ht="25.5" x14ac:dyDescent="0.25">
      <c r="A45" s="33" t="s">
        <v>107</v>
      </c>
      <c r="B45" s="10" t="s">
        <v>77</v>
      </c>
      <c r="C45" s="9" t="s">
        <v>26</v>
      </c>
      <c r="D45" s="164">
        <v>7.7</v>
      </c>
      <c r="E45" s="13">
        <v>1710.38</v>
      </c>
      <c r="G45" s="175">
        <v>13169.93</v>
      </c>
      <c r="H45" s="152"/>
      <c r="I45" s="146">
        <f t="shared" si="3"/>
        <v>4.8899480887109317E-3</v>
      </c>
      <c r="J45" s="9"/>
      <c r="K45" s="19"/>
      <c r="L45" s="194"/>
    </row>
    <row r="46" spans="1:12" x14ac:dyDescent="0.25">
      <c r="A46" s="33"/>
      <c r="B46" s="10"/>
      <c r="C46" s="9"/>
      <c r="D46" s="164"/>
      <c r="E46" s="13"/>
      <c r="G46" s="175"/>
      <c r="H46" s="152"/>
      <c r="I46" s="152"/>
      <c r="J46" s="9"/>
      <c r="K46" s="19"/>
      <c r="L46" s="194"/>
    </row>
    <row r="47" spans="1:12" x14ac:dyDescent="0.25">
      <c r="A47" s="32">
        <v>3</v>
      </c>
      <c r="B47" s="8" t="s">
        <v>540</v>
      </c>
      <c r="C47" s="9"/>
      <c r="D47" s="164"/>
      <c r="E47" s="13"/>
      <c r="G47" s="126"/>
      <c r="H47" s="152"/>
      <c r="I47" s="152"/>
      <c r="J47" s="9"/>
      <c r="K47" s="19">
        <f>SUM(H48:H60)</f>
        <v>757999.24</v>
      </c>
      <c r="L47" s="169">
        <f>K47/$G$62</f>
        <v>0.19161936593912351</v>
      </c>
    </row>
    <row r="48" spans="1:12" x14ac:dyDescent="0.25">
      <c r="A48" s="32" t="s">
        <v>109</v>
      </c>
      <c r="B48" s="8" t="s">
        <v>15</v>
      </c>
      <c r="C48" s="9"/>
      <c r="D48" s="164"/>
      <c r="E48" s="13"/>
      <c r="G48" s="126"/>
      <c r="H48" s="189">
        <f>G49</f>
        <v>26447.11</v>
      </c>
      <c r="I48" s="145">
        <f>H48/$K$47</f>
        <v>3.4890681420735987E-2</v>
      </c>
      <c r="J48" s="9"/>
      <c r="K48" s="19"/>
      <c r="L48" s="194"/>
    </row>
    <row r="49" spans="1:12" x14ac:dyDescent="0.25">
      <c r="A49" s="32" t="s">
        <v>110</v>
      </c>
      <c r="B49" s="8" t="s">
        <v>17</v>
      </c>
      <c r="C49" s="9"/>
      <c r="D49" s="164"/>
      <c r="E49" s="13"/>
      <c r="G49" s="126">
        <f>SUM(G50:G53)</f>
        <v>26447.11</v>
      </c>
      <c r="H49" s="152"/>
      <c r="I49" s="146">
        <f>G49/$K$47</f>
        <v>3.4890681420735987E-2</v>
      </c>
      <c r="J49" s="9"/>
      <c r="K49" s="19"/>
      <c r="L49" s="194"/>
    </row>
    <row r="50" spans="1:12" x14ac:dyDescent="0.25">
      <c r="A50" s="33" t="s">
        <v>111</v>
      </c>
      <c r="B50" s="10" t="s">
        <v>19</v>
      </c>
      <c r="C50" s="9" t="s">
        <v>20</v>
      </c>
      <c r="D50" s="164">
        <v>964</v>
      </c>
      <c r="E50" s="13">
        <v>4.38</v>
      </c>
      <c r="G50" s="175">
        <v>4222.32</v>
      </c>
      <c r="H50" s="152"/>
      <c r="I50" s="146">
        <f t="shared" ref="I50:I53" si="4">G50/$K$47</f>
        <v>5.5703485929616495E-3</v>
      </c>
      <c r="J50" s="9"/>
      <c r="K50" s="19"/>
      <c r="L50" s="194"/>
    </row>
    <row r="51" spans="1:12" x14ac:dyDescent="0.25">
      <c r="A51" s="33" t="s">
        <v>112</v>
      </c>
      <c r="B51" s="10" t="s">
        <v>22</v>
      </c>
      <c r="C51" s="9" t="s">
        <v>23</v>
      </c>
      <c r="D51" s="164">
        <v>24.1</v>
      </c>
      <c r="E51" s="13">
        <v>217.25</v>
      </c>
      <c r="G51" s="175">
        <v>5235.7299999999996</v>
      </c>
      <c r="H51" s="152"/>
      <c r="I51" s="146">
        <f t="shared" si="4"/>
        <v>6.9073024400393857E-3</v>
      </c>
      <c r="J51" s="9"/>
      <c r="K51" s="19"/>
      <c r="L51" s="194"/>
    </row>
    <row r="52" spans="1:12" x14ac:dyDescent="0.25">
      <c r="A52" s="33" t="s">
        <v>113</v>
      </c>
      <c r="B52" s="10" t="s">
        <v>25</v>
      </c>
      <c r="C52" s="9" t="s">
        <v>26</v>
      </c>
      <c r="D52" s="164">
        <v>289.2</v>
      </c>
      <c r="E52" s="13">
        <v>17.54</v>
      </c>
      <c r="G52" s="175">
        <v>5072.57</v>
      </c>
      <c r="H52" s="152"/>
      <c r="I52" s="146">
        <f t="shared" si="4"/>
        <v>6.6920515645899591E-3</v>
      </c>
      <c r="J52" s="9"/>
      <c r="K52" s="19"/>
      <c r="L52" s="194"/>
    </row>
    <row r="53" spans="1:12" x14ac:dyDescent="0.25">
      <c r="A53" s="33" t="s">
        <v>114</v>
      </c>
      <c r="B53" s="10" t="s">
        <v>28</v>
      </c>
      <c r="C53" s="9" t="s">
        <v>29</v>
      </c>
      <c r="D53" s="164">
        <v>5812.92</v>
      </c>
      <c r="E53" s="13">
        <v>2.0499999999999998</v>
      </c>
      <c r="G53" s="175">
        <v>11916.49</v>
      </c>
      <c r="H53" s="152"/>
      <c r="I53" s="146">
        <f t="shared" si="4"/>
        <v>1.5720978823144993E-2</v>
      </c>
      <c r="J53" s="9"/>
      <c r="K53" s="19"/>
      <c r="L53" s="194"/>
    </row>
    <row r="54" spans="1:12" x14ac:dyDescent="0.25">
      <c r="A54" s="32" t="s">
        <v>115</v>
      </c>
      <c r="B54" s="8" t="s">
        <v>31</v>
      </c>
      <c r="C54" s="9"/>
      <c r="D54" s="164"/>
      <c r="E54" s="13"/>
      <c r="G54" s="126"/>
      <c r="H54" s="189">
        <f>G55</f>
        <v>727550.08</v>
      </c>
      <c r="I54" s="145">
        <f>H54/$K$47</f>
        <v>0.95982956394520924</v>
      </c>
      <c r="J54" s="9"/>
      <c r="K54" s="19"/>
      <c r="L54" s="194"/>
    </row>
    <row r="55" spans="1:12" x14ac:dyDescent="0.25">
      <c r="A55" s="32" t="s">
        <v>116</v>
      </c>
      <c r="B55" s="8" t="s">
        <v>33</v>
      </c>
      <c r="C55" s="9"/>
      <c r="D55" s="164"/>
      <c r="E55" s="13"/>
      <c r="G55" s="126">
        <f>G56</f>
        <v>727550.08</v>
      </c>
      <c r="H55" s="152"/>
      <c r="I55" s="146">
        <f>G55/$K$47</f>
        <v>0.95982956394520924</v>
      </c>
      <c r="J55" s="9"/>
      <c r="K55" s="19"/>
      <c r="L55" s="194"/>
    </row>
    <row r="56" spans="1:12" ht="25.5" x14ac:dyDescent="0.25">
      <c r="A56" s="33" t="s">
        <v>117</v>
      </c>
      <c r="B56" s="10" t="s">
        <v>35</v>
      </c>
      <c r="C56" s="9" t="s">
        <v>20</v>
      </c>
      <c r="D56" s="164">
        <v>964</v>
      </c>
      <c r="E56" s="13">
        <v>754.72</v>
      </c>
      <c r="G56" s="175">
        <v>727550.08</v>
      </c>
      <c r="H56" s="152"/>
      <c r="I56" s="146">
        <f>G56/$K$47</f>
        <v>0.95982956394520924</v>
      </c>
      <c r="J56" s="9"/>
      <c r="K56" s="19"/>
      <c r="L56" s="194"/>
    </row>
    <row r="57" spans="1:12" x14ac:dyDescent="0.25">
      <c r="A57" s="32" t="s">
        <v>126</v>
      </c>
      <c r="B57" s="8" t="s">
        <v>69</v>
      </c>
      <c r="C57" s="9"/>
      <c r="D57" s="164"/>
      <c r="E57" s="13"/>
      <c r="G57" s="126"/>
      <c r="H57" s="189">
        <f>G58</f>
        <v>4002.05</v>
      </c>
      <c r="I57" s="145">
        <f>H57/$K$47</f>
        <v>5.2797546340547785E-3</v>
      </c>
      <c r="J57" s="9"/>
      <c r="K57" s="19"/>
      <c r="L57" s="194"/>
    </row>
    <row r="58" spans="1:12" x14ac:dyDescent="0.25">
      <c r="A58" s="32" t="s">
        <v>127</v>
      </c>
      <c r="B58" s="8" t="s">
        <v>71</v>
      </c>
      <c r="C58" s="9"/>
      <c r="D58" s="164"/>
      <c r="E58" s="13"/>
      <c r="G58" s="126">
        <f>G59</f>
        <v>4002.05</v>
      </c>
      <c r="H58" s="152"/>
      <c r="I58" s="146">
        <f>G58/$K$47</f>
        <v>5.2797546340547785E-3</v>
      </c>
      <c r="J58" s="9"/>
      <c r="K58" s="19"/>
      <c r="L58" s="194"/>
    </row>
    <row r="59" spans="1:12" x14ac:dyDescent="0.25">
      <c r="A59" s="33" t="s">
        <v>128</v>
      </c>
      <c r="B59" s="10" t="s">
        <v>73</v>
      </c>
      <c r="C59" s="9" t="s">
        <v>57</v>
      </c>
      <c r="D59" s="164">
        <v>131</v>
      </c>
      <c r="E59" s="13">
        <v>30.55</v>
      </c>
      <c r="G59" s="175">
        <v>4002.05</v>
      </c>
      <c r="H59" s="152"/>
      <c r="I59" s="146">
        <f>G59/$K$47</f>
        <v>5.2797546340547785E-3</v>
      </c>
      <c r="J59" s="9"/>
      <c r="K59" s="19"/>
      <c r="L59" s="194"/>
    </row>
    <row r="60" spans="1:12" ht="13.5" thickBot="1" x14ac:dyDescent="0.3">
      <c r="A60" s="84"/>
      <c r="B60" s="85" t="s">
        <v>269</v>
      </c>
      <c r="C60" s="36"/>
      <c r="D60" s="168"/>
      <c r="E60" s="37"/>
      <c r="F60" s="157"/>
      <c r="G60" s="195"/>
      <c r="H60" s="196"/>
      <c r="I60" s="174"/>
      <c r="J60" s="36"/>
      <c r="K60" s="197"/>
      <c r="L60" s="198"/>
    </row>
    <row r="62" spans="1:12" s="7" customFormat="1" ht="15" x14ac:dyDescent="0.25">
      <c r="A62" s="11"/>
      <c r="B62" s="98" t="s">
        <v>271</v>
      </c>
      <c r="C62" s="9"/>
      <c r="D62" s="99"/>
      <c r="E62" s="95"/>
      <c r="G62" s="277">
        <f>SUM(K5:K60)</f>
        <v>3955754.87</v>
      </c>
      <c r="H62" s="277"/>
      <c r="I62" s="277"/>
      <c r="J62" s="277"/>
      <c r="K62" s="277"/>
      <c r="L62" s="163">
        <v>1</v>
      </c>
    </row>
    <row r="63" spans="1:12" s="7" customFormat="1" ht="15" x14ac:dyDescent="0.25">
      <c r="A63" s="18"/>
      <c r="B63" s="98" t="s">
        <v>272</v>
      </c>
      <c r="C63" s="18"/>
      <c r="D63" s="144"/>
      <c r="E63" s="132"/>
      <c r="G63" s="277">
        <v>0</v>
      </c>
      <c r="H63" s="277"/>
      <c r="I63" s="277"/>
      <c r="J63" s="277"/>
      <c r="K63" s="277"/>
      <c r="L63" s="163">
        <v>1</v>
      </c>
    </row>
    <row r="64" spans="1:12" s="7" customFormat="1" ht="15" x14ac:dyDescent="0.25">
      <c r="A64" s="18"/>
      <c r="B64" s="98" t="s">
        <v>270</v>
      </c>
      <c r="C64" s="18"/>
      <c r="D64" s="144"/>
      <c r="E64" s="132"/>
      <c r="G64" s="277">
        <f>G62+G63</f>
        <v>3955754.87</v>
      </c>
      <c r="H64" s="277"/>
      <c r="I64" s="277"/>
      <c r="J64" s="277"/>
      <c r="K64" s="277"/>
      <c r="L64" s="126"/>
    </row>
  </sheetData>
  <mergeCells count="5">
    <mergeCell ref="G3:L3"/>
    <mergeCell ref="G4:H4"/>
    <mergeCell ref="G62:K62"/>
    <mergeCell ref="G63:K63"/>
    <mergeCell ref="G64:K64"/>
  </mergeCells>
  <pageMargins left="0.511811024" right="0.511811024" top="0.78740157499999996" bottom="0.78740157499999996" header="0.31496062000000002" footer="0.31496062000000002"/>
  <pageSetup paperSize="8" scale="77" fitToHeight="0" orientation="landscape" horizontalDpi="1200" verticalDpi="1200" r:id="rId1"/>
  <ignoredErrors>
    <ignoredError sqref="I12 I23 I41 I54 I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6AE7-6363-46C7-8BF8-CE8F511541D6}">
  <sheetPr>
    <pageSetUpPr fitToPage="1"/>
  </sheetPr>
  <dimension ref="A1:L138"/>
  <sheetViews>
    <sheetView workbookViewId="0">
      <pane ySplit="4" topLeftCell="A104" activePane="bottomLeft" state="frozen"/>
      <selection pane="bottomLeft" activeCell="B144" sqref="B144"/>
    </sheetView>
  </sheetViews>
  <sheetFormatPr defaultColWidth="9.140625" defaultRowHeight="12.75" x14ac:dyDescent="0.2"/>
  <cols>
    <col min="1" max="1" width="18.7109375" style="6" customWidth="1"/>
    <col min="2" max="2" width="119.42578125" style="2" customWidth="1"/>
    <col min="3" max="3" width="6.7109375" style="3" customWidth="1"/>
    <col min="4" max="4" width="10.7109375" style="4" customWidth="1"/>
    <col min="5" max="5" width="16.7109375" style="14" customWidth="1"/>
    <col min="6" max="6" width="1.7109375" style="58" customWidth="1"/>
    <col min="7" max="7" width="16.5703125" style="58" bestFit="1" customWidth="1"/>
    <col min="8" max="8" width="15.5703125" style="58" bestFit="1" customWidth="1"/>
    <col min="9" max="9" width="10" style="3" bestFit="1" customWidth="1"/>
    <col min="10" max="10" width="0.7109375" style="58" customWidth="1"/>
    <col min="11" max="11" width="15.5703125" style="58" bestFit="1" customWidth="1"/>
    <col min="12" max="12" width="9.140625" style="3"/>
    <col min="13" max="16384" width="9.140625" style="58"/>
  </cols>
  <sheetData>
    <row r="1" spans="1:12" x14ac:dyDescent="0.2">
      <c r="A1" s="1" t="s">
        <v>4</v>
      </c>
    </row>
    <row r="3" spans="1:12" x14ac:dyDescent="0.2">
      <c r="A3" s="1" t="s">
        <v>541</v>
      </c>
      <c r="G3" s="294" t="s">
        <v>11</v>
      </c>
      <c r="H3" s="294"/>
      <c r="I3" s="294"/>
      <c r="J3" s="294"/>
      <c r="K3" s="294"/>
      <c r="L3" s="294"/>
    </row>
    <row r="4" spans="1:12" ht="13.5" thickBot="1" x14ac:dyDescent="0.25">
      <c r="A4" s="199" t="s">
        <v>6</v>
      </c>
      <c r="B4" s="200" t="s">
        <v>7</v>
      </c>
      <c r="C4" s="199" t="s">
        <v>8</v>
      </c>
      <c r="D4" s="201" t="s">
        <v>9</v>
      </c>
      <c r="E4" s="202" t="s">
        <v>10</v>
      </c>
      <c r="G4" s="295" t="s">
        <v>273</v>
      </c>
      <c r="H4" s="296"/>
      <c r="I4" s="104" t="s">
        <v>275</v>
      </c>
      <c r="J4" s="141"/>
      <c r="K4" s="93" t="s">
        <v>274</v>
      </c>
      <c r="L4" s="104" t="s">
        <v>12</v>
      </c>
    </row>
    <row r="5" spans="1:12" s="62" customFormat="1" x14ac:dyDescent="0.25">
      <c r="A5" s="25">
        <v>1</v>
      </c>
      <c r="B5" s="26" t="s">
        <v>290</v>
      </c>
      <c r="C5" s="27"/>
      <c r="D5" s="172"/>
      <c r="E5" s="29"/>
      <c r="F5" s="156"/>
      <c r="G5" s="50"/>
      <c r="H5" s="72"/>
      <c r="I5" s="27"/>
      <c r="J5" s="72"/>
      <c r="K5" s="73">
        <f>SUM(H5:H39)</f>
        <v>995770.49</v>
      </c>
      <c r="L5" s="160">
        <f>K5/$G$135</f>
        <v>0.18641406877930863</v>
      </c>
    </row>
    <row r="6" spans="1:12" s="62" customFormat="1" x14ac:dyDescent="0.25">
      <c r="A6" s="32" t="s">
        <v>14</v>
      </c>
      <c r="B6" s="8" t="s">
        <v>15</v>
      </c>
      <c r="C6" s="9"/>
      <c r="D6" s="164"/>
      <c r="E6" s="13"/>
      <c r="G6" s="12"/>
      <c r="H6" s="143">
        <f>G7</f>
        <v>28587</v>
      </c>
      <c r="I6" s="145">
        <f>H6/$K$5</f>
        <v>2.8708422560303027E-2</v>
      </c>
      <c r="J6" s="67"/>
      <c r="K6" s="68"/>
      <c r="L6" s="194"/>
    </row>
    <row r="7" spans="1:12" s="62" customFormat="1" x14ac:dyDescent="0.25">
      <c r="A7" s="32" t="s">
        <v>16</v>
      </c>
      <c r="B7" s="8" t="s">
        <v>17</v>
      </c>
      <c r="C7" s="9"/>
      <c r="D7" s="164"/>
      <c r="E7" s="13"/>
      <c r="G7" s="12">
        <f>SUM(G8:G11)</f>
        <v>28587</v>
      </c>
      <c r="H7" s="69"/>
      <c r="I7" s="146">
        <f t="shared" ref="I7:I39" si="0">H7/$K$5</f>
        <v>0</v>
      </c>
      <c r="J7" s="67"/>
      <c r="K7" s="68"/>
      <c r="L7" s="194"/>
    </row>
    <row r="8" spans="1:12" s="62" customFormat="1" x14ac:dyDescent="0.25">
      <c r="A8" s="33" t="s">
        <v>18</v>
      </c>
      <c r="B8" s="10" t="s">
        <v>19</v>
      </c>
      <c r="C8" s="9" t="s">
        <v>20</v>
      </c>
      <c r="D8" s="164">
        <v>1042</v>
      </c>
      <c r="E8" s="13">
        <v>4.38</v>
      </c>
      <c r="G8" s="13">
        <v>4563.96</v>
      </c>
      <c r="H8" s="69"/>
      <c r="I8" s="146">
        <f t="shared" si="0"/>
        <v>0</v>
      </c>
      <c r="J8" s="67"/>
      <c r="K8" s="68"/>
      <c r="L8" s="194"/>
    </row>
    <row r="9" spans="1:12" s="62" customFormat="1" x14ac:dyDescent="0.25">
      <c r="A9" s="33" t="s">
        <v>21</v>
      </c>
      <c r="B9" s="10" t="s">
        <v>22</v>
      </c>
      <c r="C9" s="9" t="s">
        <v>23</v>
      </c>
      <c r="D9" s="164">
        <v>26.05</v>
      </c>
      <c r="E9" s="13">
        <v>217.25</v>
      </c>
      <c r="G9" s="13">
        <v>5659.36</v>
      </c>
      <c r="H9" s="69"/>
      <c r="I9" s="146">
        <f t="shared" si="0"/>
        <v>0</v>
      </c>
      <c r="J9" s="67"/>
      <c r="K9" s="68"/>
      <c r="L9" s="194"/>
    </row>
    <row r="10" spans="1:12" s="62" customFormat="1" x14ac:dyDescent="0.25">
      <c r="A10" s="33" t="s">
        <v>24</v>
      </c>
      <c r="B10" s="10" t="s">
        <v>25</v>
      </c>
      <c r="C10" s="9" t="s">
        <v>26</v>
      </c>
      <c r="D10" s="164">
        <v>312.60000000000002</v>
      </c>
      <c r="E10" s="13">
        <v>17.54</v>
      </c>
      <c r="G10" s="13">
        <v>5483</v>
      </c>
      <c r="H10" s="69"/>
      <c r="I10" s="146">
        <f t="shared" si="0"/>
        <v>0</v>
      </c>
      <c r="J10" s="67"/>
      <c r="K10" s="68"/>
      <c r="L10" s="194"/>
    </row>
    <row r="11" spans="1:12" s="62" customFormat="1" x14ac:dyDescent="0.25">
      <c r="A11" s="33" t="s">
        <v>27</v>
      </c>
      <c r="B11" s="10" t="s">
        <v>28</v>
      </c>
      <c r="C11" s="9" t="s">
        <v>29</v>
      </c>
      <c r="D11" s="164">
        <v>6283.26</v>
      </c>
      <c r="E11" s="13">
        <v>2.0499999999999998</v>
      </c>
      <c r="G11" s="13">
        <v>12880.68</v>
      </c>
      <c r="H11" s="69"/>
      <c r="I11" s="146">
        <f t="shared" si="0"/>
        <v>0</v>
      </c>
      <c r="J11" s="67"/>
      <c r="K11" s="68"/>
      <c r="L11" s="194"/>
    </row>
    <row r="12" spans="1:12" s="62" customFormat="1" x14ac:dyDescent="0.25">
      <c r="A12" s="32" t="s">
        <v>30</v>
      </c>
      <c r="B12" s="8" t="s">
        <v>31</v>
      </c>
      <c r="C12" s="9"/>
      <c r="D12" s="164"/>
      <c r="E12" s="13"/>
      <c r="G12" s="12"/>
      <c r="H12" s="143">
        <f>G13+G15</f>
        <v>945093.17</v>
      </c>
      <c r="I12" s="145">
        <f t="shared" si="0"/>
        <v>0.94910742936356751</v>
      </c>
      <c r="J12" s="67"/>
      <c r="K12" s="68"/>
      <c r="L12" s="194"/>
    </row>
    <row r="13" spans="1:12" s="62" customFormat="1" x14ac:dyDescent="0.25">
      <c r="A13" s="32" t="s">
        <v>32</v>
      </c>
      <c r="B13" s="8" t="s">
        <v>33</v>
      </c>
      <c r="C13" s="9"/>
      <c r="D13" s="164"/>
      <c r="E13" s="13"/>
      <c r="G13" s="12">
        <f>G14</f>
        <v>735097.28</v>
      </c>
      <c r="H13" s="69"/>
      <c r="I13" s="146">
        <f t="shared" si="0"/>
        <v>0</v>
      </c>
      <c r="J13" s="67"/>
      <c r="K13" s="68"/>
      <c r="L13" s="194"/>
    </row>
    <row r="14" spans="1:12" s="62" customFormat="1" ht="25.5" x14ac:dyDescent="0.25">
      <c r="A14" s="33" t="s">
        <v>34</v>
      </c>
      <c r="B14" s="10" t="s">
        <v>35</v>
      </c>
      <c r="C14" s="9" t="s">
        <v>20</v>
      </c>
      <c r="D14" s="164">
        <v>974</v>
      </c>
      <c r="E14" s="13">
        <v>754.72</v>
      </c>
      <c r="G14" s="13">
        <v>735097.28</v>
      </c>
      <c r="H14" s="69"/>
      <c r="I14" s="146">
        <f t="shared" si="0"/>
        <v>0</v>
      </c>
      <c r="J14" s="67"/>
      <c r="K14" s="68"/>
      <c r="L14" s="194"/>
    </row>
    <row r="15" spans="1:12" s="62" customFormat="1" x14ac:dyDescent="0.25">
      <c r="A15" s="32" t="s">
        <v>36</v>
      </c>
      <c r="B15" s="8" t="s">
        <v>144</v>
      </c>
      <c r="C15" s="9"/>
      <c r="D15" s="164"/>
      <c r="E15" s="13"/>
      <c r="G15" s="12">
        <f>G16+G22</f>
        <v>209995.89000000004</v>
      </c>
      <c r="H15" s="69"/>
      <c r="I15" s="146">
        <f t="shared" si="0"/>
        <v>0</v>
      </c>
      <c r="J15" s="67"/>
      <c r="K15" s="68"/>
      <c r="L15" s="194"/>
    </row>
    <row r="16" spans="1:12" s="62" customFormat="1" x14ac:dyDescent="0.25">
      <c r="A16" s="32" t="s">
        <v>38</v>
      </c>
      <c r="B16" s="8" t="s">
        <v>146</v>
      </c>
      <c r="C16" s="9"/>
      <c r="D16" s="164"/>
      <c r="E16" s="13"/>
      <c r="G16" s="12">
        <f>SUM(G17:G21)</f>
        <v>96853.66</v>
      </c>
      <c r="H16" s="69"/>
      <c r="I16" s="146">
        <f t="shared" si="0"/>
        <v>0</v>
      </c>
      <c r="J16" s="67"/>
      <c r="K16" s="68"/>
      <c r="L16" s="194"/>
    </row>
    <row r="17" spans="1:12" s="62" customFormat="1" ht="25.5" x14ac:dyDescent="0.25">
      <c r="A17" s="33" t="s">
        <v>542</v>
      </c>
      <c r="B17" s="10" t="s">
        <v>148</v>
      </c>
      <c r="C17" s="9" t="s">
        <v>149</v>
      </c>
      <c r="D17" s="164">
        <v>115.6</v>
      </c>
      <c r="E17" s="13">
        <v>238.49</v>
      </c>
      <c r="G17" s="13">
        <v>27569.439999999999</v>
      </c>
      <c r="H17" s="69"/>
      <c r="I17" s="146">
        <f t="shared" si="0"/>
        <v>0</v>
      </c>
      <c r="J17" s="67"/>
      <c r="K17" s="68"/>
      <c r="L17" s="194"/>
    </row>
    <row r="18" spans="1:12" s="62" customFormat="1" ht="25.5" x14ac:dyDescent="0.25">
      <c r="A18" s="33" t="s">
        <v>543</v>
      </c>
      <c r="B18" s="10" t="s">
        <v>151</v>
      </c>
      <c r="C18" s="9" t="s">
        <v>57</v>
      </c>
      <c r="D18" s="164">
        <v>204</v>
      </c>
      <c r="E18" s="13">
        <v>337.82</v>
      </c>
      <c r="G18" s="13">
        <v>68915.28</v>
      </c>
      <c r="H18" s="69"/>
      <c r="I18" s="146">
        <f t="shared" si="0"/>
        <v>0</v>
      </c>
      <c r="J18" s="67"/>
      <c r="K18" s="68"/>
      <c r="L18" s="194"/>
    </row>
    <row r="19" spans="1:12" s="62" customFormat="1" x14ac:dyDescent="0.25">
      <c r="A19" s="33" t="s">
        <v>544</v>
      </c>
      <c r="B19" s="10" t="s">
        <v>153</v>
      </c>
      <c r="C19" s="9" t="s">
        <v>154</v>
      </c>
      <c r="D19" s="164">
        <v>391</v>
      </c>
      <c r="E19" s="13">
        <v>0.76</v>
      </c>
      <c r="G19" s="13">
        <v>297.16000000000003</v>
      </c>
      <c r="H19" s="69"/>
      <c r="I19" s="146">
        <f t="shared" si="0"/>
        <v>0</v>
      </c>
      <c r="J19" s="67"/>
      <c r="K19" s="68"/>
      <c r="L19" s="194"/>
    </row>
    <row r="20" spans="1:12" s="62" customFormat="1" x14ac:dyDescent="0.25">
      <c r="A20" s="33" t="s">
        <v>545</v>
      </c>
      <c r="B20" s="10" t="s">
        <v>123</v>
      </c>
      <c r="C20" s="9" t="s">
        <v>26</v>
      </c>
      <c r="D20" s="164">
        <v>6.8</v>
      </c>
      <c r="E20" s="13">
        <v>10.49</v>
      </c>
      <c r="G20" s="13">
        <v>71.33</v>
      </c>
      <c r="H20" s="69"/>
      <c r="I20" s="146">
        <f t="shared" si="0"/>
        <v>0</v>
      </c>
      <c r="J20" s="67"/>
      <c r="K20" s="68"/>
      <c r="L20" s="194"/>
    </row>
    <row r="21" spans="1:12" s="62" customFormat="1" ht="25.5" x14ac:dyDescent="0.25">
      <c r="A21" s="33" t="s">
        <v>546</v>
      </c>
      <c r="B21" s="10" t="s">
        <v>157</v>
      </c>
      <c r="C21" s="9" t="s">
        <v>158</v>
      </c>
      <c r="D21" s="164">
        <v>0.54</v>
      </c>
      <c r="E21" s="13">
        <v>0.83</v>
      </c>
      <c r="G21" s="13">
        <v>0.45</v>
      </c>
      <c r="H21" s="69"/>
      <c r="I21" s="146">
        <f t="shared" si="0"/>
        <v>0</v>
      </c>
      <c r="J21" s="67"/>
      <c r="K21" s="68"/>
      <c r="L21" s="194"/>
    </row>
    <row r="22" spans="1:12" s="62" customFormat="1" x14ac:dyDescent="0.25">
      <c r="A22" s="32" t="s">
        <v>40</v>
      </c>
      <c r="B22" s="8" t="s">
        <v>160</v>
      </c>
      <c r="C22" s="9"/>
      <c r="D22" s="164"/>
      <c r="E22" s="13"/>
      <c r="G22" s="12">
        <f>SUM(G23:G34)</f>
        <v>113142.23000000004</v>
      </c>
      <c r="H22" s="69"/>
      <c r="I22" s="146">
        <f t="shared" si="0"/>
        <v>0</v>
      </c>
      <c r="J22" s="67"/>
      <c r="K22" s="68"/>
      <c r="L22" s="194"/>
    </row>
    <row r="23" spans="1:12" s="62" customFormat="1" ht="25.5" x14ac:dyDescent="0.25">
      <c r="A23" s="33" t="s">
        <v>547</v>
      </c>
      <c r="B23" s="10" t="s">
        <v>162</v>
      </c>
      <c r="C23" s="9" t="s">
        <v>20</v>
      </c>
      <c r="D23" s="164">
        <v>34</v>
      </c>
      <c r="E23" s="13">
        <v>42.99</v>
      </c>
      <c r="G23" s="13">
        <v>1461.66</v>
      </c>
      <c r="H23" s="69"/>
      <c r="I23" s="146">
        <f t="shared" si="0"/>
        <v>0</v>
      </c>
      <c r="J23" s="67"/>
      <c r="K23" s="68"/>
      <c r="L23" s="194"/>
    </row>
    <row r="24" spans="1:12" s="62" customFormat="1" x14ac:dyDescent="0.25">
      <c r="A24" s="33" t="s">
        <v>548</v>
      </c>
      <c r="B24" s="10" t="s">
        <v>164</v>
      </c>
      <c r="C24" s="9" t="s">
        <v>42</v>
      </c>
      <c r="D24" s="164">
        <v>2040</v>
      </c>
      <c r="E24" s="13">
        <v>13.5</v>
      </c>
      <c r="G24" s="13">
        <v>27540</v>
      </c>
      <c r="H24" s="69"/>
      <c r="I24" s="146">
        <f t="shared" si="0"/>
        <v>0</v>
      </c>
      <c r="J24" s="67"/>
      <c r="K24" s="68"/>
      <c r="L24" s="194"/>
    </row>
    <row r="25" spans="1:12" s="62" customFormat="1" x14ac:dyDescent="0.25">
      <c r="A25" s="33" t="s">
        <v>549</v>
      </c>
      <c r="B25" s="10" t="s">
        <v>166</v>
      </c>
      <c r="C25" s="9" t="s">
        <v>42</v>
      </c>
      <c r="D25" s="164">
        <v>3400</v>
      </c>
      <c r="E25" s="13">
        <v>10.35</v>
      </c>
      <c r="G25" s="13">
        <v>35190</v>
      </c>
      <c r="H25" s="69"/>
      <c r="I25" s="146">
        <f t="shared" si="0"/>
        <v>0</v>
      </c>
      <c r="J25" s="67"/>
      <c r="K25" s="68"/>
      <c r="L25" s="194"/>
    </row>
    <row r="26" spans="1:12" s="62" customFormat="1" x14ac:dyDescent="0.25">
      <c r="A26" s="33" t="s">
        <v>550</v>
      </c>
      <c r="B26" s="10" t="s">
        <v>168</v>
      </c>
      <c r="C26" s="9" t="s">
        <v>26</v>
      </c>
      <c r="D26" s="164">
        <v>51</v>
      </c>
      <c r="E26" s="13">
        <v>648.51</v>
      </c>
      <c r="G26" s="13">
        <v>33074.01</v>
      </c>
      <c r="H26" s="69"/>
      <c r="I26" s="146">
        <f t="shared" si="0"/>
        <v>0</v>
      </c>
      <c r="J26" s="67"/>
      <c r="K26" s="68"/>
      <c r="L26" s="194"/>
    </row>
    <row r="27" spans="1:12" s="62" customFormat="1" ht="25.5" x14ac:dyDescent="0.25">
      <c r="A27" s="33" t="s">
        <v>551</v>
      </c>
      <c r="B27" s="10" t="s">
        <v>170</v>
      </c>
      <c r="C27" s="9" t="s">
        <v>57</v>
      </c>
      <c r="D27" s="164">
        <v>10.199999999999999</v>
      </c>
      <c r="E27" s="13">
        <v>73.319999999999993</v>
      </c>
      <c r="G27" s="13">
        <v>747.86</v>
      </c>
      <c r="H27" s="69"/>
      <c r="I27" s="146">
        <f t="shared" si="0"/>
        <v>0</v>
      </c>
      <c r="J27" s="67"/>
      <c r="K27" s="68"/>
      <c r="L27" s="194"/>
    </row>
    <row r="28" spans="1:12" s="62" customFormat="1" ht="25.5" x14ac:dyDescent="0.25">
      <c r="A28" s="33" t="s">
        <v>552</v>
      </c>
      <c r="B28" s="10" t="s">
        <v>172</v>
      </c>
      <c r="C28" s="9" t="s">
        <v>57</v>
      </c>
      <c r="D28" s="164">
        <v>23.8</v>
      </c>
      <c r="E28" s="13">
        <v>100.93</v>
      </c>
      <c r="G28" s="13">
        <v>2402.13</v>
      </c>
      <c r="H28" s="69"/>
      <c r="I28" s="146">
        <f t="shared" si="0"/>
        <v>0</v>
      </c>
      <c r="J28" s="67"/>
      <c r="K28" s="68"/>
      <c r="L28" s="194"/>
    </row>
    <row r="29" spans="1:12" s="62" customFormat="1" x14ac:dyDescent="0.25">
      <c r="A29" s="33" t="s">
        <v>553</v>
      </c>
      <c r="B29" s="10" t="s">
        <v>174</v>
      </c>
      <c r="C29" s="9" t="s">
        <v>57</v>
      </c>
      <c r="D29" s="164">
        <v>17</v>
      </c>
      <c r="E29" s="13">
        <v>381.67</v>
      </c>
      <c r="G29" s="13">
        <v>6488.39</v>
      </c>
      <c r="H29" s="69"/>
      <c r="I29" s="146">
        <f t="shared" si="0"/>
        <v>0</v>
      </c>
      <c r="J29" s="67"/>
      <c r="K29" s="68"/>
      <c r="L29" s="194"/>
    </row>
    <row r="30" spans="1:12" s="62" customFormat="1" ht="25.5" x14ac:dyDescent="0.25">
      <c r="A30" s="33" t="s">
        <v>554</v>
      </c>
      <c r="B30" s="10" t="s">
        <v>176</v>
      </c>
      <c r="C30" s="9" t="s">
        <v>149</v>
      </c>
      <c r="D30" s="164">
        <v>5.0999999999999996</v>
      </c>
      <c r="E30" s="13">
        <v>7.22</v>
      </c>
      <c r="G30" s="13">
        <v>36.82</v>
      </c>
      <c r="H30" s="69"/>
      <c r="I30" s="146">
        <f t="shared" si="0"/>
        <v>0</v>
      </c>
      <c r="J30" s="67"/>
      <c r="K30" s="68"/>
      <c r="L30" s="194"/>
    </row>
    <row r="31" spans="1:12" s="62" customFormat="1" x14ac:dyDescent="0.25">
      <c r="A31" s="33" t="s">
        <v>555</v>
      </c>
      <c r="B31" s="10" t="s">
        <v>178</v>
      </c>
      <c r="C31" s="9" t="s">
        <v>23</v>
      </c>
      <c r="D31" s="164">
        <v>51</v>
      </c>
      <c r="E31" s="13">
        <v>36.69</v>
      </c>
      <c r="G31" s="13">
        <v>1871.19</v>
      </c>
      <c r="H31" s="69"/>
      <c r="I31" s="146">
        <f t="shared" si="0"/>
        <v>0</v>
      </c>
      <c r="J31" s="67"/>
      <c r="K31" s="68"/>
      <c r="L31" s="194"/>
    </row>
    <row r="32" spans="1:12" s="62" customFormat="1" x14ac:dyDescent="0.25">
      <c r="A32" s="33" t="s">
        <v>556</v>
      </c>
      <c r="B32" s="10" t="s">
        <v>180</v>
      </c>
      <c r="C32" s="9" t="s">
        <v>23</v>
      </c>
      <c r="D32" s="164">
        <v>36.380000000000003</v>
      </c>
      <c r="E32" s="13">
        <v>29.6</v>
      </c>
      <c r="G32" s="13">
        <v>1076.8499999999999</v>
      </c>
      <c r="H32" s="69"/>
      <c r="I32" s="146">
        <f t="shared" si="0"/>
        <v>0</v>
      </c>
      <c r="J32" s="67"/>
      <c r="K32" s="68"/>
      <c r="L32" s="194"/>
    </row>
    <row r="33" spans="1:12" s="62" customFormat="1" ht="25.5" x14ac:dyDescent="0.25">
      <c r="A33" s="33" t="s">
        <v>557</v>
      </c>
      <c r="B33" s="10" t="s">
        <v>182</v>
      </c>
      <c r="C33" s="9" t="s">
        <v>26</v>
      </c>
      <c r="D33" s="164">
        <v>6.8</v>
      </c>
      <c r="E33" s="13">
        <v>218.93</v>
      </c>
      <c r="G33" s="13">
        <v>1488.72</v>
      </c>
      <c r="H33" s="69"/>
      <c r="I33" s="146">
        <f t="shared" si="0"/>
        <v>0</v>
      </c>
      <c r="J33" s="67"/>
      <c r="K33" s="68"/>
      <c r="L33" s="194"/>
    </row>
    <row r="34" spans="1:12" s="62" customFormat="1" ht="25.5" x14ac:dyDescent="0.25">
      <c r="A34" s="33" t="s">
        <v>558</v>
      </c>
      <c r="B34" s="10" t="s">
        <v>184</v>
      </c>
      <c r="C34" s="9" t="s">
        <v>20</v>
      </c>
      <c r="D34" s="164">
        <v>68</v>
      </c>
      <c r="E34" s="13">
        <v>25.95</v>
      </c>
      <c r="G34" s="13">
        <v>1764.6</v>
      </c>
      <c r="H34" s="69"/>
      <c r="I34" s="146">
        <f t="shared" si="0"/>
        <v>0</v>
      </c>
      <c r="J34" s="67"/>
      <c r="K34" s="68"/>
      <c r="L34" s="194"/>
    </row>
    <row r="35" spans="1:12" s="62" customFormat="1" x14ac:dyDescent="0.25">
      <c r="A35" s="32" t="s">
        <v>68</v>
      </c>
      <c r="B35" s="8" t="s">
        <v>69</v>
      </c>
      <c r="C35" s="9"/>
      <c r="D35" s="164"/>
      <c r="E35" s="13"/>
      <c r="G35" s="12"/>
      <c r="H35" s="143">
        <f>G36+G38</f>
        <v>22090.32</v>
      </c>
      <c r="I35" s="145">
        <f t="shared" si="0"/>
        <v>2.2184148076129472E-2</v>
      </c>
      <c r="J35" s="67"/>
      <c r="K35" s="68"/>
      <c r="L35" s="194"/>
    </row>
    <row r="36" spans="1:12" s="62" customFormat="1" x14ac:dyDescent="0.25">
      <c r="A36" s="32" t="s">
        <v>70</v>
      </c>
      <c r="B36" s="8" t="s">
        <v>71</v>
      </c>
      <c r="C36" s="9"/>
      <c r="D36" s="164"/>
      <c r="E36" s="13"/>
      <c r="G36" s="12">
        <v>8065.2</v>
      </c>
      <c r="H36" s="69"/>
      <c r="I36" s="146">
        <f t="shared" si="0"/>
        <v>0</v>
      </c>
      <c r="J36" s="67"/>
      <c r="K36" s="68"/>
      <c r="L36" s="194"/>
    </row>
    <row r="37" spans="1:12" s="62" customFormat="1" x14ac:dyDescent="0.25">
      <c r="A37" s="33" t="s">
        <v>72</v>
      </c>
      <c r="B37" s="10" t="s">
        <v>73</v>
      </c>
      <c r="C37" s="9" t="s">
        <v>57</v>
      </c>
      <c r="D37" s="164">
        <v>264</v>
      </c>
      <c r="E37" s="13">
        <v>30.55</v>
      </c>
      <c r="G37" s="13">
        <v>8065.2</v>
      </c>
      <c r="H37" s="69"/>
      <c r="I37" s="146">
        <f t="shared" si="0"/>
        <v>0</v>
      </c>
      <c r="J37" s="67"/>
      <c r="K37" s="68"/>
      <c r="L37" s="194"/>
    </row>
    <row r="38" spans="1:12" s="62" customFormat="1" x14ac:dyDescent="0.25">
      <c r="A38" s="32" t="s">
        <v>74</v>
      </c>
      <c r="B38" s="8" t="s">
        <v>75</v>
      </c>
      <c r="C38" s="9"/>
      <c r="D38" s="164"/>
      <c r="E38" s="13"/>
      <c r="G38" s="12">
        <v>14025.12</v>
      </c>
      <c r="H38" s="69"/>
      <c r="I38" s="146">
        <f t="shared" si="0"/>
        <v>0</v>
      </c>
      <c r="J38" s="67"/>
      <c r="K38" s="68"/>
      <c r="L38" s="194"/>
    </row>
    <row r="39" spans="1:12" s="62" customFormat="1" ht="25.5" x14ac:dyDescent="0.25">
      <c r="A39" s="33" t="s">
        <v>76</v>
      </c>
      <c r="B39" s="10" t="s">
        <v>77</v>
      </c>
      <c r="C39" s="9" t="s">
        <v>26</v>
      </c>
      <c r="D39" s="164">
        <v>8.1999999999999993</v>
      </c>
      <c r="E39" s="13">
        <v>1710.38</v>
      </c>
      <c r="G39" s="13">
        <v>14025.12</v>
      </c>
      <c r="H39" s="69"/>
      <c r="I39" s="146">
        <f t="shared" si="0"/>
        <v>0</v>
      </c>
      <c r="J39" s="67"/>
      <c r="K39" s="68"/>
      <c r="L39" s="194"/>
    </row>
    <row r="40" spans="1:12" s="62" customFormat="1" x14ac:dyDescent="0.25">
      <c r="A40" s="33"/>
      <c r="B40" s="10"/>
      <c r="C40" s="9"/>
      <c r="D40" s="164"/>
      <c r="E40" s="13"/>
      <c r="G40" s="13"/>
      <c r="H40" s="69"/>
      <c r="I40" s="152"/>
      <c r="J40" s="67"/>
      <c r="K40" s="68"/>
      <c r="L40" s="194"/>
    </row>
    <row r="41" spans="1:12" s="62" customFormat="1" x14ac:dyDescent="0.25">
      <c r="A41" s="32">
        <v>2</v>
      </c>
      <c r="B41" s="8" t="s">
        <v>559</v>
      </c>
      <c r="C41" s="9"/>
      <c r="D41" s="164"/>
      <c r="E41" s="13"/>
      <c r="G41" s="12"/>
      <c r="H41" s="69"/>
      <c r="I41" s="152"/>
      <c r="J41" s="67"/>
      <c r="K41" s="68">
        <f>SUM(H41:H55)</f>
        <v>3858154.44</v>
      </c>
      <c r="L41" s="169">
        <f>K41/$G$135</f>
        <v>0.72226911156942897</v>
      </c>
    </row>
    <row r="42" spans="1:12" s="62" customFormat="1" x14ac:dyDescent="0.25">
      <c r="A42" s="32" t="s">
        <v>79</v>
      </c>
      <c r="B42" s="8" t="s">
        <v>15</v>
      </c>
      <c r="C42" s="9"/>
      <c r="D42" s="164"/>
      <c r="E42" s="13"/>
      <c r="G42" s="12"/>
      <c r="H42" s="143">
        <f>G43</f>
        <v>134155.93</v>
      </c>
      <c r="I42" s="145">
        <f>H42/$K$41</f>
        <v>3.4772047642551082E-2</v>
      </c>
      <c r="J42" s="67"/>
      <c r="K42" s="68"/>
      <c r="L42" s="194"/>
    </row>
    <row r="43" spans="1:12" s="62" customFormat="1" x14ac:dyDescent="0.25">
      <c r="A43" s="32" t="s">
        <v>80</v>
      </c>
      <c r="B43" s="8" t="s">
        <v>17</v>
      </c>
      <c r="C43" s="9"/>
      <c r="D43" s="164"/>
      <c r="E43" s="13"/>
      <c r="G43" s="12">
        <f>SUM(G44:G47)</f>
        <v>134155.93</v>
      </c>
      <c r="H43" s="69"/>
      <c r="I43" s="146">
        <f t="shared" ref="I43:I55" si="1">H43/$K$41</f>
        <v>0</v>
      </c>
      <c r="J43" s="67"/>
      <c r="K43" s="68"/>
      <c r="L43" s="194"/>
    </row>
    <row r="44" spans="1:12" s="62" customFormat="1" x14ac:dyDescent="0.25">
      <c r="A44" s="33" t="s">
        <v>81</v>
      </c>
      <c r="B44" s="10" t="s">
        <v>19</v>
      </c>
      <c r="C44" s="9" t="s">
        <v>20</v>
      </c>
      <c r="D44" s="164">
        <v>4890</v>
      </c>
      <c r="E44" s="13">
        <v>4.38</v>
      </c>
      <c r="G44" s="13">
        <v>21418.2</v>
      </c>
      <c r="H44" s="69"/>
      <c r="I44" s="146">
        <f t="shared" si="1"/>
        <v>0</v>
      </c>
      <c r="J44" s="67"/>
      <c r="K44" s="68"/>
      <c r="L44" s="194"/>
    </row>
    <row r="45" spans="1:12" s="62" customFormat="1" x14ac:dyDescent="0.25">
      <c r="A45" s="33" t="s">
        <v>82</v>
      </c>
      <c r="B45" s="10" t="s">
        <v>22</v>
      </c>
      <c r="C45" s="9" t="s">
        <v>23</v>
      </c>
      <c r="D45" s="164">
        <v>122.25</v>
      </c>
      <c r="E45" s="13">
        <v>217.25</v>
      </c>
      <c r="G45" s="13">
        <v>26558.81</v>
      </c>
      <c r="H45" s="69"/>
      <c r="I45" s="146">
        <f t="shared" si="1"/>
        <v>0</v>
      </c>
      <c r="J45" s="67"/>
      <c r="K45" s="68"/>
      <c r="L45" s="194"/>
    </row>
    <row r="46" spans="1:12" s="62" customFormat="1" x14ac:dyDescent="0.25">
      <c r="A46" s="33" t="s">
        <v>83</v>
      </c>
      <c r="B46" s="10" t="s">
        <v>25</v>
      </c>
      <c r="C46" s="9" t="s">
        <v>26</v>
      </c>
      <c r="D46" s="164">
        <v>1467</v>
      </c>
      <c r="E46" s="13">
        <v>17.54</v>
      </c>
      <c r="G46" s="13">
        <v>25731.18</v>
      </c>
      <c r="H46" s="69"/>
      <c r="I46" s="146">
        <f t="shared" si="1"/>
        <v>0</v>
      </c>
      <c r="J46" s="67"/>
      <c r="K46" s="68"/>
      <c r="L46" s="194"/>
    </row>
    <row r="47" spans="1:12" s="62" customFormat="1" x14ac:dyDescent="0.25">
      <c r="A47" s="33" t="s">
        <v>84</v>
      </c>
      <c r="B47" s="10" t="s">
        <v>28</v>
      </c>
      <c r="C47" s="9" t="s">
        <v>29</v>
      </c>
      <c r="D47" s="164">
        <v>29486.7</v>
      </c>
      <c r="E47" s="13">
        <v>2.0499999999999998</v>
      </c>
      <c r="G47" s="13">
        <v>60447.74</v>
      </c>
      <c r="H47" s="69"/>
      <c r="I47" s="146">
        <f t="shared" si="1"/>
        <v>0</v>
      </c>
      <c r="J47" s="67"/>
      <c r="K47" s="68"/>
      <c r="L47" s="194"/>
    </row>
    <row r="48" spans="1:12" s="62" customFormat="1" x14ac:dyDescent="0.25">
      <c r="A48" s="32" t="s">
        <v>85</v>
      </c>
      <c r="B48" s="8" t="s">
        <v>31</v>
      </c>
      <c r="C48" s="9"/>
      <c r="D48" s="164"/>
      <c r="E48" s="13"/>
      <c r="G48" s="12"/>
      <c r="H48" s="143">
        <f>G49</f>
        <v>3690580.8</v>
      </c>
      <c r="I48" s="145">
        <f t="shared" si="1"/>
        <v>0.95656637322170024</v>
      </c>
      <c r="J48" s="67"/>
      <c r="K48" s="68"/>
      <c r="L48" s="194"/>
    </row>
    <row r="49" spans="1:12" s="62" customFormat="1" x14ac:dyDescent="0.25">
      <c r="A49" s="32" t="s">
        <v>86</v>
      </c>
      <c r="B49" s="8" t="s">
        <v>33</v>
      </c>
      <c r="C49" s="9"/>
      <c r="D49" s="164"/>
      <c r="E49" s="13"/>
      <c r="G49" s="12">
        <f>G50</f>
        <v>3690580.8</v>
      </c>
      <c r="H49" s="69"/>
      <c r="I49" s="146">
        <f t="shared" si="1"/>
        <v>0</v>
      </c>
      <c r="J49" s="67"/>
      <c r="K49" s="68"/>
      <c r="L49" s="194"/>
    </row>
    <row r="50" spans="1:12" s="62" customFormat="1" ht="25.5" x14ac:dyDescent="0.25">
      <c r="A50" s="33" t="s">
        <v>87</v>
      </c>
      <c r="B50" s="10" t="s">
        <v>35</v>
      </c>
      <c r="C50" s="9" t="s">
        <v>20</v>
      </c>
      <c r="D50" s="164">
        <v>4890</v>
      </c>
      <c r="E50" s="13">
        <v>754.72</v>
      </c>
      <c r="G50" s="13">
        <v>3690580.8</v>
      </c>
      <c r="H50" s="69"/>
      <c r="I50" s="146">
        <f t="shared" si="1"/>
        <v>0</v>
      </c>
      <c r="J50" s="67"/>
      <c r="K50" s="68"/>
      <c r="L50" s="194"/>
    </row>
    <row r="51" spans="1:12" s="62" customFormat="1" x14ac:dyDescent="0.25">
      <c r="A51" s="32" t="s">
        <v>103</v>
      </c>
      <c r="B51" s="8" t="s">
        <v>69</v>
      </c>
      <c r="C51" s="9"/>
      <c r="D51" s="164"/>
      <c r="E51" s="13"/>
      <c r="G51" s="12"/>
      <c r="H51" s="143">
        <f>G52+G54</f>
        <v>33417.71</v>
      </c>
      <c r="I51" s="145">
        <f t="shared" si="1"/>
        <v>8.6615791357486458E-3</v>
      </c>
      <c r="J51" s="67"/>
      <c r="K51" s="68"/>
      <c r="L51" s="194"/>
    </row>
    <row r="52" spans="1:12" s="62" customFormat="1" x14ac:dyDescent="0.25">
      <c r="A52" s="32" t="s">
        <v>104</v>
      </c>
      <c r="B52" s="8" t="s">
        <v>71</v>
      </c>
      <c r="C52" s="9"/>
      <c r="D52" s="164"/>
      <c r="E52" s="13"/>
      <c r="G52" s="12">
        <v>17169.099999999999</v>
      </c>
      <c r="H52" s="69"/>
      <c r="I52" s="146">
        <f t="shared" si="1"/>
        <v>0</v>
      </c>
      <c r="J52" s="67"/>
      <c r="K52" s="68"/>
      <c r="L52" s="194"/>
    </row>
    <row r="53" spans="1:12" s="62" customFormat="1" x14ac:dyDescent="0.25">
      <c r="A53" s="33" t="s">
        <v>105</v>
      </c>
      <c r="B53" s="10" t="s">
        <v>73</v>
      </c>
      <c r="C53" s="9" t="s">
        <v>57</v>
      </c>
      <c r="D53" s="164">
        <v>562</v>
      </c>
      <c r="E53" s="13">
        <v>30.55</v>
      </c>
      <c r="G53" s="13">
        <v>17169.099999999999</v>
      </c>
      <c r="H53" s="69"/>
      <c r="I53" s="146">
        <f t="shared" si="1"/>
        <v>0</v>
      </c>
      <c r="J53" s="67"/>
      <c r="K53" s="68"/>
      <c r="L53" s="194"/>
    </row>
    <row r="54" spans="1:12" s="62" customFormat="1" x14ac:dyDescent="0.25">
      <c r="A54" s="32" t="s">
        <v>106</v>
      </c>
      <c r="B54" s="8" t="s">
        <v>75</v>
      </c>
      <c r="C54" s="9"/>
      <c r="D54" s="164"/>
      <c r="E54" s="13"/>
      <c r="G54" s="12">
        <v>16248.61</v>
      </c>
      <c r="H54" s="69"/>
      <c r="I54" s="146">
        <f t="shared" si="1"/>
        <v>0</v>
      </c>
      <c r="J54" s="67"/>
      <c r="K54" s="68"/>
      <c r="L54" s="194"/>
    </row>
    <row r="55" spans="1:12" s="62" customFormat="1" ht="25.5" x14ac:dyDescent="0.25">
      <c r="A55" s="33" t="s">
        <v>107</v>
      </c>
      <c r="B55" s="10" t="s">
        <v>77</v>
      </c>
      <c r="C55" s="9" t="s">
        <v>26</v>
      </c>
      <c r="D55" s="164">
        <v>9.5</v>
      </c>
      <c r="E55" s="13">
        <v>1710.38</v>
      </c>
      <c r="G55" s="13">
        <v>16248.61</v>
      </c>
      <c r="H55" s="69"/>
      <c r="I55" s="146">
        <f t="shared" si="1"/>
        <v>0</v>
      </c>
      <c r="J55" s="67"/>
      <c r="K55" s="68"/>
      <c r="L55" s="194"/>
    </row>
    <row r="56" spans="1:12" s="62" customFormat="1" x14ac:dyDescent="0.25">
      <c r="A56" s="33"/>
      <c r="B56" s="10"/>
      <c r="C56" s="9"/>
      <c r="D56" s="164"/>
      <c r="E56" s="13"/>
      <c r="G56" s="13"/>
      <c r="H56" s="69"/>
      <c r="I56" s="152"/>
      <c r="J56" s="67"/>
      <c r="K56" s="68"/>
      <c r="L56" s="194"/>
    </row>
    <row r="57" spans="1:12" s="62" customFormat="1" x14ac:dyDescent="0.25">
      <c r="A57" s="32">
        <v>3</v>
      </c>
      <c r="B57" s="8" t="s">
        <v>560</v>
      </c>
      <c r="C57" s="9"/>
      <c r="D57" s="164"/>
      <c r="E57" s="13"/>
      <c r="G57" s="12"/>
      <c r="H57" s="69"/>
      <c r="I57" s="152"/>
      <c r="J57" s="67"/>
      <c r="K57" s="68">
        <f>SUM(H57:H71)</f>
        <v>34360.769999999997</v>
      </c>
      <c r="L57" s="169">
        <f>K57/$G$135</f>
        <v>6.4325374234478509E-3</v>
      </c>
    </row>
    <row r="58" spans="1:12" s="62" customFormat="1" x14ac:dyDescent="0.25">
      <c r="A58" s="32" t="s">
        <v>109</v>
      </c>
      <c r="B58" s="8" t="s">
        <v>15</v>
      </c>
      <c r="C58" s="9"/>
      <c r="D58" s="164"/>
      <c r="E58" s="13"/>
      <c r="G58" s="12"/>
      <c r="H58" s="143">
        <f>G59</f>
        <v>5212.6000000000004</v>
      </c>
      <c r="I58" s="145">
        <f>H58/$K$57</f>
        <v>0.15170207186858736</v>
      </c>
      <c r="J58" s="67"/>
      <c r="K58" s="68"/>
      <c r="L58" s="194"/>
    </row>
    <row r="59" spans="1:12" s="62" customFormat="1" x14ac:dyDescent="0.25">
      <c r="A59" s="32" t="s">
        <v>110</v>
      </c>
      <c r="B59" s="8" t="s">
        <v>17</v>
      </c>
      <c r="C59" s="9"/>
      <c r="D59" s="164"/>
      <c r="E59" s="13"/>
      <c r="G59" s="12">
        <f>SUM(G60:G63)</f>
        <v>5212.6000000000004</v>
      </c>
      <c r="H59" s="69"/>
      <c r="I59" s="146">
        <f>G59/$K$57</f>
        <v>0.15170207186858736</v>
      </c>
      <c r="J59" s="67"/>
      <c r="K59" s="68"/>
      <c r="L59" s="194"/>
    </row>
    <row r="60" spans="1:12" s="62" customFormat="1" x14ac:dyDescent="0.25">
      <c r="A60" s="33" t="s">
        <v>111</v>
      </c>
      <c r="B60" s="10" t="s">
        <v>19</v>
      </c>
      <c r="C60" s="9" t="s">
        <v>20</v>
      </c>
      <c r="D60" s="164">
        <v>190</v>
      </c>
      <c r="E60" s="13">
        <v>4.38</v>
      </c>
      <c r="G60" s="13">
        <v>832.2</v>
      </c>
      <c r="H60" s="69"/>
      <c r="I60" s="146">
        <f t="shared" ref="I60:I63" si="2">G60/$K$57</f>
        <v>2.4219480529685457E-2</v>
      </c>
      <c r="J60" s="67"/>
      <c r="K60" s="68"/>
      <c r="L60" s="194"/>
    </row>
    <row r="61" spans="1:12" s="62" customFormat="1" x14ac:dyDescent="0.25">
      <c r="A61" s="33" t="s">
        <v>112</v>
      </c>
      <c r="B61" s="10" t="s">
        <v>22</v>
      </c>
      <c r="C61" s="9" t="s">
        <v>23</v>
      </c>
      <c r="D61" s="164">
        <v>4.75</v>
      </c>
      <c r="E61" s="13">
        <v>217.25</v>
      </c>
      <c r="G61" s="13">
        <v>1031.94</v>
      </c>
      <c r="H61" s="69"/>
      <c r="I61" s="146">
        <f t="shared" si="2"/>
        <v>3.0032505092289847E-2</v>
      </c>
      <c r="J61" s="67"/>
      <c r="K61" s="68"/>
      <c r="L61" s="194"/>
    </row>
    <row r="62" spans="1:12" s="62" customFormat="1" x14ac:dyDescent="0.25">
      <c r="A62" s="33" t="s">
        <v>113</v>
      </c>
      <c r="B62" s="10" t="s">
        <v>25</v>
      </c>
      <c r="C62" s="9" t="s">
        <v>26</v>
      </c>
      <c r="D62" s="164">
        <v>57</v>
      </c>
      <c r="E62" s="13">
        <v>17.54</v>
      </c>
      <c r="G62" s="13">
        <v>999.78</v>
      </c>
      <c r="H62" s="69"/>
      <c r="I62" s="146">
        <f t="shared" si="2"/>
        <v>2.9096554006211153E-2</v>
      </c>
      <c r="J62" s="67"/>
      <c r="K62" s="68"/>
      <c r="L62" s="194"/>
    </row>
    <row r="63" spans="1:12" s="62" customFormat="1" x14ac:dyDescent="0.25">
      <c r="A63" s="33" t="s">
        <v>114</v>
      </c>
      <c r="B63" s="10" t="s">
        <v>28</v>
      </c>
      <c r="C63" s="9" t="s">
        <v>29</v>
      </c>
      <c r="D63" s="164">
        <v>1145.7</v>
      </c>
      <c r="E63" s="13">
        <v>2.0499999999999998</v>
      </c>
      <c r="G63" s="13">
        <v>2348.6799999999998</v>
      </c>
      <c r="H63" s="69"/>
      <c r="I63" s="146">
        <f t="shared" si="2"/>
        <v>6.8353532240400902E-2</v>
      </c>
      <c r="J63" s="67"/>
      <c r="K63" s="68"/>
      <c r="L63" s="194"/>
    </row>
    <row r="64" spans="1:12" s="62" customFormat="1" x14ac:dyDescent="0.25">
      <c r="A64" s="32" t="s">
        <v>115</v>
      </c>
      <c r="B64" s="8" t="s">
        <v>31</v>
      </c>
      <c r="C64" s="9"/>
      <c r="D64" s="164"/>
      <c r="E64" s="13"/>
      <c r="G64" s="12"/>
      <c r="H64" s="143">
        <f>G65</f>
        <v>28628.82</v>
      </c>
      <c r="I64" s="145">
        <f t="shared" ref="I64:I69" si="3">H64/$K$57</f>
        <v>0.83318330759176829</v>
      </c>
      <c r="J64" s="67"/>
      <c r="K64" s="68"/>
      <c r="L64" s="194"/>
    </row>
    <row r="65" spans="1:12" s="62" customFormat="1" x14ac:dyDescent="0.25">
      <c r="A65" s="32" t="s">
        <v>116</v>
      </c>
      <c r="B65" s="8" t="s">
        <v>119</v>
      </c>
      <c r="C65" s="9"/>
      <c r="D65" s="164"/>
      <c r="E65" s="13"/>
      <c r="G65" s="12">
        <f>SUM(G66:G68)</f>
        <v>28628.82</v>
      </c>
      <c r="H65" s="69"/>
      <c r="I65" s="146">
        <f>G65/$K$57</f>
        <v>0.83318330759176829</v>
      </c>
      <c r="J65" s="67"/>
      <c r="K65" s="68"/>
      <c r="L65" s="194"/>
    </row>
    <row r="66" spans="1:12" s="62" customFormat="1" x14ac:dyDescent="0.25">
      <c r="A66" s="33" t="s">
        <v>117</v>
      </c>
      <c r="B66" s="10" t="s">
        <v>121</v>
      </c>
      <c r="C66" s="9" t="s">
        <v>26</v>
      </c>
      <c r="D66" s="164">
        <v>342</v>
      </c>
      <c r="E66" s="13">
        <v>78.849999999999994</v>
      </c>
      <c r="G66" s="13">
        <v>26966.7</v>
      </c>
      <c r="H66" s="69"/>
      <c r="I66" s="146">
        <f t="shared" ref="I66:I68" si="4">G66/$K$57</f>
        <v>0.78481070127357455</v>
      </c>
      <c r="J66" s="67"/>
      <c r="K66" s="68"/>
      <c r="L66" s="194"/>
    </row>
    <row r="67" spans="1:12" s="62" customFormat="1" x14ac:dyDescent="0.25">
      <c r="A67" s="33" t="s">
        <v>425</v>
      </c>
      <c r="B67" s="10" t="s">
        <v>123</v>
      </c>
      <c r="C67" s="9" t="s">
        <v>26</v>
      </c>
      <c r="D67" s="164">
        <v>57</v>
      </c>
      <c r="E67" s="13">
        <v>10.49</v>
      </c>
      <c r="G67" s="13">
        <v>597.92999999999995</v>
      </c>
      <c r="H67" s="69"/>
      <c r="I67" s="146">
        <f t="shared" si="4"/>
        <v>1.7401530873726055E-2</v>
      </c>
      <c r="J67" s="67"/>
      <c r="K67" s="68"/>
      <c r="L67" s="194"/>
    </row>
    <row r="68" spans="1:12" s="62" customFormat="1" x14ac:dyDescent="0.25">
      <c r="A68" s="33" t="s">
        <v>426</v>
      </c>
      <c r="B68" s="10" t="s">
        <v>125</v>
      </c>
      <c r="C68" s="9" t="s">
        <v>26</v>
      </c>
      <c r="D68" s="164">
        <v>57</v>
      </c>
      <c r="E68" s="13">
        <v>18.670000000000002</v>
      </c>
      <c r="G68" s="13">
        <v>1064.19</v>
      </c>
      <c r="H68" s="69"/>
      <c r="I68" s="146">
        <f t="shared" si="4"/>
        <v>3.0971075444467634E-2</v>
      </c>
      <c r="J68" s="67"/>
      <c r="K68" s="68"/>
      <c r="L68" s="194"/>
    </row>
    <row r="69" spans="1:12" s="62" customFormat="1" x14ac:dyDescent="0.25">
      <c r="A69" s="32" t="s">
        <v>126</v>
      </c>
      <c r="B69" s="8" t="s">
        <v>69</v>
      </c>
      <c r="C69" s="9"/>
      <c r="D69" s="164"/>
      <c r="E69" s="13"/>
      <c r="G69" s="12"/>
      <c r="H69" s="143">
        <f>G70</f>
        <v>519.35</v>
      </c>
      <c r="I69" s="145">
        <f t="shared" si="3"/>
        <v>1.5114620539644486E-2</v>
      </c>
      <c r="J69" s="67"/>
      <c r="K69" s="68"/>
      <c r="L69" s="194"/>
    </row>
    <row r="70" spans="1:12" s="62" customFormat="1" x14ac:dyDescent="0.25">
      <c r="A70" s="32" t="s">
        <v>127</v>
      </c>
      <c r="B70" s="8" t="s">
        <v>71</v>
      </c>
      <c r="C70" s="9"/>
      <c r="D70" s="164"/>
      <c r="E70" s="13"/>
      <c r="G70" s="12">
        <v>519.35</v>
      </c>
      <c r="H70" s="69"/>
      <c r="I70" s="146">
        <f>G70/$K$57</f>
        <v>1.5114620539644486E-2</v>
      </c>
      <c r="J70" s="67"/>
      <c r="K70" s="68"/>
      <c r="L70" s="194"/>
    </row>
    <row r="71" spans="1:12" s="62" customFormat="1" x14ac:dyDescent="0.25">
      <c r="A71" s="33" t="s">
        <v>128</v>
      </c>
      <c r="B71" s="10" t="s">
        <v>73</v>
      </c>
      <c r="C71" s="9" t="s">
        <v>57</v>
      </c>
      <c r="D71" s="164">
        <v>17</v>
      </c>
      <c r="E71" s="13">
        <v>30.55</v>
      </c>
      <c r="G71" s="13">
        <v>519.35</v>
      </c>
      <c r="H71" s="69"/>
      <c r="I71" s="146">
        <f>G71/$K$57</f>
        <v>1.5114620539644486E-2</v>
      </c>
      <c r="J71" s="67"/>
      <c r="K71" s="68"/>
      <c r="L71" s="194"/>
    </row>
    <row r="72" spans="1:12" s="62" customFormat="1" x14ac:dyDescent="0.25">
      <c r="A72" s="33"/>
      <c r="B72" s="10"/>
      <c r="C72" s="9"/>
      <c r="D72" s="164"/>
      <c r="E72" s="13"/>
      <c r="G72" s="13"/>
      <c r="H72" s="69"/>
      <c r="I72" s="152"/>
      <c r="J72" s="67"/>
      <c r="K72" s="68"/>
      <c r="L72" s="194"/>
    </row>
    <row r="73" spans="1:12" s="62" customFormat="1" x14ac:dyDescent="0.25">
      <c r="A73" s="32">
        <v>4</v>
      </c>
      <c r="B73" s="8" t="s">
        <v>561</v>
      </c>
      <c r="C73" s="9"/>
      <c r="D73" s="164"/>
      <c r="E73" s="13"/>
      <c r="G73" s="12"/>
      <c r="H73" s="69"/>
      <c r="I73" s="152"/>
      <c r="J73" s="67"/>
      <c r="K73" s="68">
        <f>SUM(H74:H91)</f>
        <v>453427.49</v>
      </c>
      <c r="L73" s="169">
        <f>K73/$G$135</f>
        <v>8.4884282227814634E-2</v>
      </c>
    </row>
    <row r="74" spans="1:12" s="62" customFormat="1" x14ac:dyDescent="0.25">
      <c r="A74" s="32" t="s">
        <v>132</v>
      </c>
      <c r="B74" s="8" t="s">
        <v>15</v>
      </c>
      <c r="C74" s="9"/>
      <c r="D74" s="164"/>
      <c r="E74" s="13"/>
      <c r="G74" s="12"/>
      <c r="H74" s="143">
        <f>G75</f>
        <v>17366.2</v>
      </c>
      <c r="I74" s="145">
        <f>H74/$K$73</f>
        <v>3.8299839297348294E-2</v>
      </c>
      <c r="J74" s="67"/>
      <c r="K74" s="68"/>
      <c r="L74" s="194"/>
    </row>
    <row r="75" spans="1:12" s="62" customFormat="1" x14ac:dyDescent="0.25">
      <c r="A75" s="32" t="s">
        <v>133</v>
      </c>
      <c r="B75" s="8" t="s">
        <v>17</v>
      </c>
      <c r="C75" s="9"/>
      <c r="D75" s="164"/>
      <c r="E75" s="13"/>
      <c r="G75" s="12">
        <f>SUM(G76:G79)</f>
        <v>17366.2</v>
      </c>
      <c r="H75" s="69"/>
      <c r="I75" s="146">
        <f>G75/$K$73</f>
        <v>3.8299839297348294E-2</v>
      </c>
      <c r="J75" s="67"/>
      <c r="K75" s="68"/>
      <c r="L75" s="194"/>
    </row>
    <row r="76" spans="1:12" s="62" customFormat="1" x14ac:dyDescent="0.25">
      <c r="A76" s="33" t="s">
        <v>134</v>
      </c>
      <c r="B76" s="10" t="s">
        <v>19</v>
      </c>
      <c r="C76" s="9" t="s">
        <v>20</v>
      </c>
      <c r="D76" s="164">
        <v>633</v>
      </c>
      <c r="E76" s="13">
        <v>4.38</v>
      </c>
      <c r="G76" s="13">
        <v>2772.54</v>
      </c>
      <c r="H76" s="69"/>
      <c r="I76" s="146">
        <f t="shared" ref="I76:I79" si="5">G76/$K$73</f>
        <v>6.1146270597753124E-3</v>
      </c>
      <c r="J76" s="67"/>
      <c r="K76" s="68"/>
      <c r="L76" s="194"/>
    </row>
    <row r="77" spans="1:12" s="62" customFormat="1" x14ac:dyDescent="0.25">
      <c r="A77" s="33" t="s">
        <v>135</v>
      </c>
      <c r="B77" s="10" t="s">
        <v>22</v>
      </c>
      <c r="C77" s="9" t="s">
        <v>23</v>
      </c>
      <c r="D77" s="164">
        <v>15.83</v>
      </c>
      <c r="E77" s="13">
        <v>217.25</v>
      </c>
      <c r="G77" s="13">
        <v>3437.98</v>
      </c>
      <c r="H77" s="69"/>
      <c r="I77" s="146">
        <f t="shared" si="5"/>
        <v>7.5822045990197907E-3</v>
      </c>
      <c r="J77" s="67"/>
      <c r="K77" s="68"/>
      <c r="L77" s="194"/>
    </row>
    <row r="78" spans="1:12" s="62" customFormat="1" x14ac:dyDescent="0.25">
      <c r="A78" s="33" t="s">
        <v>136</v>
      </c>
      <c r="B78" s="10" t="s">
        <v>25</v>
      </c>
      <c r="C78" s="9" t="s">
        <v>26</v>
      </c>
      <c r="D78" s="164">
        <v>189.9</v>
      </c>
      <c r="E78" s="13">
        <v>17.54</v>
      </c>
      <c r="G78" s="13">
        <v>3330.85</v>
      </c>
      <c r="H78" s="69"/>
      <c r="I78" s="146">
        <f t="shared" si="5"/>
        <v>7.3459374948792802E-3</v>
      </c>
      <c r="J78" s="67"/>
      <c r="K78" s="68"/>
      <c r="L78" s="194"/>
    </row>
    <row r="79" spans="1:12" s="62" customFormat="1" x14ac:dyDescent="0.25">
      <c r="A79" s="33" t="s">
        <v>137</v>
      </c>
      <c r="B79" s="10" t="s">
        <v>28</v>
      </c>
      <c r="C79" s="9" t="s">
        <v>29</v>
      </c>
      <c r="D79" s="164">
        <v>3816.99</v>
      </c>
      <c r="E79" s="13">
        <v>2.0499999999999998</v>
      </c>
      <c r="G79" s="13">
        <v>7824.83</v>
      </c>
      <c r="H79" s="69"/>
      <c r="I79" s="146">
        <f t="shared" si="5"/>
        <v>1.7257070143673909E-2</v>
      </c>
      <c r="J79" s="67"/>
      <c r="K79" s="68"/>
      <c r="L79" s="194"/>
    </row>
    <row r="80" spans="1:12" s="62" customFormat="1" x14ac:dyDescent="0.25">
      <c r="A80" s="32" t="s">
        <v>138</v>
      </c>
      <c r="B80" s="8" t="s">
        <v>31</v>
      </c>
      <c r="C80" s="9"/>
      <c r="D80" s="164"/>
      <c r="E80" s="13"/>
      <c r="G80" s="12"/>
      <c r="H80" s="143">
        <f>G81+G83</f>
        <v>428810.36</v>
      </c>
      <c r="I80" s="145">
        <f>H80/$K$73</f>
        <v>0.94570878355875598</v>
      </c>
      <c r="J80" s="67"/>
      <c r="K80" s="68"/>
      <c r="L80" s="194"/>
    </row>
    <row r="81" spans="1:12" s="62" customFormat="1" x14ac:dyDescent="0.25">
      <c r="A81" s="32" t="s">
        <v>139</v>
      </c>
      <c r="B81" s="8" t="s">
        <v>33</v>
      </c>
      <c r="C81" s="9"/>
      <c r="D81" s="164"/>
      <c r="E81" s="13"/>
      <c r="G81" s="12">
        <f>G82</f>
        <v>416605.44</v>
      </c>
      <c r="H81" s="69"/>
      <c r="I81" s="146">
        <f>G81/$K$73</f>
        <v>0.91879175653862544</v>
      </c>
      <c r="J81" s="67"/>
      <c r="K81" s="68"/>
      <c r="L81" s="194"/>
    </row>
    <row r="82" spans="1:12" s="62" customFormat="1" ht="25.5" x14ac:dyDescent="0.25">
      <c r="A82" s="33" t="s">
        <v>140</v>
      </c>
      <c r="B82" s="10" t="s">
        <v>35</v>
      </c>
      <c r="C82" s="9" t="s">
        <v>20</v>
      </c>
      <c r="D82" s="164">
        <v>552</v>
      </c>
      <c r="E82" s="13">
        <v>754.72</v>
      </c>
      <c r="G82" s="13">
        <v>416605.44</v>
      </c>
      <c r="H82" s="69"/>
      <c r="I82" s="146">
        <f t="shared" ref="I82:I86" si="6">G82/$K$73</f>
        <v>0.91879175653862544</v>
      </c>
      <c r="J82" s="67"/>
      <c r="K82" s="68"/>
      <c r="L82" s="194"/>
    </row>
    <row r="83" spans="1:12" s="62" customFormat="1" x14ac:dyDescent="0.25">
      <c r="A83" s="32" t="s">
        <v>143</v>
      </c>
      <c r="B83" s="8" t="s">
        <v>119</v>
      </c>
      <c r="C83" s="9"/>
      <c r="D83" s="164"/>
      <c r="E83" s="13"/>
      <c r="G83" s="12">
        <f>SUM(G84:G86)</f>
        <v>12204.92</v>
      </c>
      <c r="H83" s="143"/>
      <c r="I83" s="146">
        <f t="shared" si="6"/>
        <v>2.6917027020130605E-2</v>
      </c>
      <c r="J83" s="67"/>
      <c r="K83" s="68"/>
      <c r="L83" s="194"/>
    </row>
    <row r="84" spans="1:12" s="62" customFormat="1" x14ac:dyDescent="0.25">
      <c r="A84" s="33" t="s">
        <v>145</v>
      </c>
      <c r="B84" s="10" t="s">
        <v>121</v>
      </c>
      <c r="C84" s="9" t="s">
        <v>26</v>
      </c>
      <c r="D84" s="164">
        <v>145.80000000000001</v>
      </c>
      <c r="E84" s="13">
        <v>78.849999999999994</v>
      </c>
      <c r="G84" s="13">
        <v>11496.33</v>
      </c>
      <c r="H84" s="69"/>
      <c r="I84" s="146">
        <f t="shared" si="6"/>
        <v>2.5354285422791636E-2</v>
      </c>
      <c r="J84" s="67"/>
      <c r="K84" s="68"/>
      <c r="L84" s="194"/>
    </row>
    <row r="85" spans="1:12" s="62" customFormat="1" x14ac:dyDescent="0.25">
      <c r="A85" s="33" t="s">
        <v>159</v>
      </c>
      <c r="B85" s="10" t="s">
        <v>123</v>
      </c>
      <c r="C85" s="9" t="s">
        <v>26</v>
      </c>
      <c r="D85" s="164">
        <v>24.3</v>
      </c>
      <c r="E85" s="13">
        <v>10.49</v>
      </c>
      <c r="G85" s="13">
        <v>254.91</v>
      </c>
      <c r="H85" s="69"/>
      <c r="I85" s="146">
        <f t="shared" si="6"/>
        <v>5.6218470565161372E-4</v>
      </c>
      <c r="J85" s="67"/>
      <c r="K85" s="68"/>
      <c r="L85" s="194"/>
    </row>
    <row r="86" spans="1:12" s="62" customFormat="1" x14ac:dyDescent="0.25">
      <c r="A86" s="33" t="s">
        <v>329</v>
      </c>
      <c r="B86" s="10" t="s">
        <v>125</v>
      </c>
      <c r="C86" s="9" t="s">
        <v>26</v>
      </c>
      <c r="D86" s="164">
        <v>24.3</v>
      </c>
      <c r="E86" s="13">
        <v>18.670000000000002</v>
      </c>
      <c r="G86" s="13">
        <v>453.68</v>
      </c>
      <c r="H86" s="69"/>
      <c r="I86" s="146">
        <f t="shared" si="6"/>
        <v>1.0005568916873566E-3</v>
      </c>
      <c r="J86" s="67"/>
      <c r="K86" s="68"/>
      <c r="L86" s="194"/>
    </row>
    <row r="87" spans="1:12" s="62" customFormat="1" x14ac:dyDescent="0.25">
      <c r="A87" s="32" t="s">
        <v>185</v>
      </c>
      <c r="B87" s="8" t="s">
        <v>69</v>
      </c>
      <c r="C87" s="9"/>
      <c r="D87" s="164"/>
      <c r="E87" s="13"/>
      <c r="G87" s="12"/>
      <c r="H87" s="143">
        <f>G88+G90</f>
        <v>7250.9299999999994</v>
      </c>
      <c r="I87" s="145">
        <f>H87/$K$73</f>
        <v>1.5991377143895709E-2</v>
      </c>
      <c r="J87" s="67"/>
      <c r="K87" s="68"/>
      <c r="L87" s="194"/>
    </row>
    <row r="88" spans="1:12" s="62" customFormat="1" x14ac:dyDescent="0.25">
      <c r="A88" s="32" t="s">
        <v>186</v>
      </c>
      <c r="B88" s="8" t="s">
        <v>71</v>
      </c>
      <c r="C88" s="9"/>
      <c r="D88" s="164"/>
      <c r="E88" s="13"/>
      <c r="G88" s="12">
        <v>580.45000000000005</v>
      </c>
      <c r="H88" s="69"/>
      <c r="I88" s="146">
        <f>G88/$K$73</f>
        <v>1.2801385288748154E-3</v>
      </c>
      <c r="J88" s="67"/>
      <c r="K88" s="68"/>
      <c r="L88" s="194"/>
    </row>
    <row r="89" spans="1:12" s="62" customFormat="1" x14ac:dyDescent="0.25">
      <c r="A89" s="33" t="s">
        <v>187</v>
      </c>
      <c r="B89" s="10" t="s">
        <v>73</v>
      </c>
      <c r="C89" s="9" t="s">
        <v>57</v>
      </c>
      <c r="D89" s="164">
        <v>19</v>
      </c>
      <c r="E89" s="13">
        <v>30.55</v>
      </c>
      <c r="G89" s="13">
        <v>580.45000000000005</v>
      </c>
      <c r="H89" s="69"/>
      <c r="I89" s="146">
        <f t="shared" ref="I89:I91" si="7">G89/$K$73</f>
        <v>1.2801385288748154E-3</v>
      </c>
      <c r="J89" s="67"/>
      <c r="K89" s="68"/>
      <c r="L89" s="194"/>
    </row>
    <row r="90" spans="1:12" s="62" customFormat="1" x14ac:dyDescent="0.25">
      <c r="A90" s="32" t="s">
        <v>188</v>
      </c>
      <c r="B90" s="8" t="s">
        <v>75</v>
      </c>
      <c r="C90" s="9"/>
      <c r="D90" s="164"/>
      <c r="E90" s="13"/>
      <c r="G90" s="12">
        <v>6670.48</v>
      </c>
      <c r="H90" s="69"/>
      <c r="I90" s="146">
        <f t="shared" si="7"/>
        <v>1.4711238615020893E-2</v>
      </c>
      <c r="J90" s="67"/>
      <c r="K90" s="68"/>
      <c r="L90" s="194"/>
    </row>
    <row r="91" spans="1:12" s="62" customFormat="1" ht="26.25" thickBot="1" x14ac:dyDescent="0.3">
      <c r="A91" s="34" t="s">
        <v>189</v>
      </c>
      <c r="B91" s="35" t="s">
        <v>77</v>
      </c>
      <c r="C91" s="36" t="s">
        <v>26</v>
      </c>
      <c r="D91" s="168">
        <v>3.9</v>
      </c>
      <c r="E91" s="37">
        <v>1710.38</v>
      </c>
      <c r="F91" s="157"/>
      <c r="G91" s="37">
        <v>6670.48</v>
      </c>
      <c r="H91" s="203"/>
      <c r="I91" s="151">
        <f t="shared" si="7"/>
        <v>1.4711238615020893E-2</v>
      </c>
      <c r="J91" s="77"/>
      <c r="K91" s="78"/>
      <c r="L91" s="198"/>
    </row>
    <row r="92" spans="1:12" s="62" customFormat="1" ht="13.5" thickBot="1" x14ac:dyDescent="0.3">
      <c r="A92" s="41"/>
      <c r="B92" s="41"/>
      <c r="C92" s="42"/>
      <c r="D92" s="166"/>
      <c r="E92" s="44"/>
      <c r="G92" s="44"/>
      <c r="H92" s="190"/>
      <c r="I92" s="191"/>
      <c r="K92" s="192"/>
      <c r="L92" s="191"/>
    </row>
    <row r="93" spans="1:12" s="62" customFormat="1" x14ac:dyDescent="0.25">
      <c r="A93" s="25">
        <v>5</v>
      </c>
      <c r="B93" s="26" t="s">
        <v>206</v>
      </c>
      <c r="C93" s="27"/>
      <c r="D93" s="172"/>
      <c r="E93" s="29"/>
      <c r="F93" s="156"/>
      <c r="G93" s="50"/>
      <c r="H93" s="204"/>
      <c r="I93" s="193"/>
      <c r="J93" s="72"/>
      <c r="K93" s="73">
        <f>SUM(H93:H133)</f>
        <v>5806534.7999999998</v>
      </c>
      <c r="L93" s="179">
        <v>1</v>
      </c>
    </row>
    <row r="94" spans="1:12" s="62" customFormat="1" x14ac:dyDescent="0.25">
      <c r="A94" s="32" t="s">
        <v>191</v>
      </c>
      <c r="B94" s="8" t="s">
        <v>15</v>
      </c>
      <c r="C94" s="9"/>
      <c r="D94" s="164"/>
      <c r="E94" s="13"/>
      <c r="G94" s="12"/>
      <c r="H94" s="143">
        <f>G95</f>
        <v>139725.19</v>
      </c>
      <c r="I94" s="145">
        <f>H94/$K$93</f>
        <v>2.4063437973367525E-2</v>
      </c>
      <c r="J94" s="67"/>
      <c r="K94" s="68"/>
      <c r="L94" s="194"/>
    </row>
    <row r="95" spans="1:12" s="62" customFormat="1" x14ac:dyDescent="0.25">
      <c r="A95" s="32" t="s">
        <v>192</v>
      </c>
      <c r="B95" s="8" t="s">
        <v>17</v>
      </c>
      <c r="C95" s="9"/>
      <c r="D95" s="164"/>
      <c r="E95" s="13"/>
      <c r="G95" s="12">
        <f>SUM(G96:G99)</f>
        <v>139725.19</v>
      </c>
      <c r="H95" s="69"/>
      <c r="I95" s="146">
        <f>G95/$K$93</f>
        <v>2.4063437973367525E-2</v>
      </c>
      <c r="J95" s="67"/>
      <c r="K95" s="68"/>
      <c r="L95" s="194"/>
    </row>
    <row r="96" spans="1:12" s="62" customFormat="1" x14ac:dyDescent="0.25">
      <c r="A96" s="33" t="s">
        <v>193</v>
      </c>
      <c r="B96" s="10" t="s">
        <v>19</v>
      </c>
      <c r="C96" s="9" t="s">
        <v>20</v>
      </c>
      <c r="D96" s="164">
        <v>5093</v>
      </c>
      <c r="E96" s="13">
        <v>4.38</v>
      </c>
      <c r="G96" s="13">
        <v>22307.34</v>
      </c>
      <c r="H96" s="69"/>
      <c r="I96" s="146">
        <f t="shared" ref="I96:I99" si="8">G96/$K$93</f>
        <v>3.8417646269854441E-3</v>
      </c>
      <c r="J96" s="67"/>
      <c r="K96" s="68"/>
      <c r="L96" s="194"/>
    </row>
    <row r="97" spans="1:12" s="62" customFormat="1" x14ac:dyDescent="0.25">
      <c r="A97" s="33" t="s">
        <v>194</v>
      </c>
      <c r="B97" s="10" t="s">
        <v>22</v>
      </c>
      <c r="C97" s="9" t="s">
        <v>23</v>
      </c>
      <c r="D97" s="164">
        <v>127.33</v>
      </c>
      <c r="E97" s="13">
        <v>217.25</v>
      </c>
      <c r="G97" s="13">
        <v>27661.360000000001</v>
      </c>
      <c r="H97" s="69"/>
      <c r="I97" s="146">
        <f t="shared" si="8"/>
        <v>4.7638326390466133E-3</v>
      </c>
      <c r="J97" s="67"/>
      <c r="K97" s="68"/>
      <c r="L97" s="194"/>
    </row>
    <row r="98" spans="1:12" s="62" customFormat="1" x14ac:dyDescent="0.25">
      <c r="A98" s="33" t="s">
        <v>195</v>
      </c>
      <c r="B98" s="10" t="s">
        <v>25</v>
      </c>
      <c r="C98" s="9" t="s">
        <v>26</v>
      </c>
      <c r="D98" s="164">
        <v>1527.9</v>
      </c>
      <c r="E98" s="13">
        <v>17.54</v>
      </c>
      <c r="G98" s="13">
        <v>26799.37</v>
      </c>
      <c r="H98" s="69"/>
      <c r="I98" s="146">
        <f t="shared" si="8"/>
        <v>4.6153809325313955E-3</v>
      </c>
      <c r="J98" s="67"/>
      <c r="K98" s="68"/>
      <c r="L98" s="194"/>
    </row>
    <row r="99" spans="1:12" s="62" customFormat="1" x14ac:dyDescent="0.25">
      <c r="A99" s="33" t="s">
        <v>196</v>
      </c>
      <c r="B99" s="10" t="s">
        <v>28</v>
      </c>
      <c r="C99" s="9" t="s">
        <v>29</v>
      </c>
      <c r="D99" s="164">
        <v>30710.79</v>
      </c>
      <c r="E99" s="13">
        <v>2.0499999999999998</v>
      </c>
      <c r="G99" s="13">
        <v>62957.120000000003</v>
      </c>
      <c r="H99" s="69"/>
      <c r="I99" s="146">
        <f t="shared" si="8"/>
        <v>1.0842459774804072E-2</v>
      </c>
      <c r="J99" s="67"/>
      <c r="K99" s="68"/>
      <c r="L99" s="194"/>
    </row>
    <row r="100" spans="1:12" s="62" customFormat="1" x14ac:dyDescent="0.25">
      <c r="A100" s="32" t="s">
        <v>201</v>
      </c>
      <c r="B100" s="8" t="s">
        <v>208</v>
      </c>
      <c r="C100" s="9"/>
      <c r="D100" s="164"/>
      <c r="E100" s="13"/>
      <c r="G100" s="12"/>
      <c r="H100" s="143">
        <f>G101+G103</f>
        <v>487554.32</v>
      </c>
      <c r="I100" s="145">
        <f>H100/$K$93</f>
        <v>8.3966485484595746E-2</v>
      </c>
      <c r="J100" s="67"/>
      <c r="K100" s="68"/>
      <c r="L100" s="194"/>
    </row>
    <row r="101" spans="1:12" s="62" customFormat="1" x14ac:dyDescent="0.25">
      <c r="A101" s="32" t="s">
        <v>202</v>
      </c>
      <c r="B101" s="8" t="s">
        <v>71</v>
      </c>
      <c r="C101" s="9"/>
      <c r="D101" s="164"/>
      <c r="E101" s="13"/>
      <c r="G101" s="12">
        <f>G102</f>
        <v>92749.8</v>
      </c>
      <c r="H101" s="69"/>
      <c r="I101" s="146">
        <f>G101/$K$93</f>
        <v>1.5973347821836875E-2</v>
      </c>
      <c r="J101" s="67"/>
      <c r="K101" s="68"/>
      <c r="L101" s="194"/>
    </row>
    <row r="102" spans="1:12" s="62" customFormat="1" x14ac:dyDescent="0.25">
      <c r="A102" s="33" t="s">
        <v>203</v>
      </c>
      <c r="B102" s="10" t="s">
        <v>73</v>
      </c>
      <c r="C102" s="9" t="s">
        <v>57</v>
      </c>
      <c r="D102" s="164">
        <v>3036</v>
      </c>
      <c r="E102" s="13">
        <v>30.55</v>
      </c>
      <c r="G102" s="13">
        <v>92749.8</v>
      </c>
      <c r="H102" s="69"/>
      <c r="I102" s="146">
        <f t="shared" ref="I102:I105" si="9">G102/$K$93</f>
        <v>1.5973347821836875E-2</v>
      </c>
      <c r="J102" s="67"/>
      <c r="K102" s="68"/>
      <c r="L102" s="194"/>
    </row>
    <row r="103" spans="1:12" s="62" customFormat="1" x14ac:dyDescent="0.25">
      <c r="A103" s="32" t="s">
        <v>204</v>
      </c>
      <c r="B103" s="8" t="s">
        <v>446</v>
      </c>
      <c r="C103" s="9"/>
      <c r="D103" s="164"/>
      <c r="E103" s="13"/>
      <c r="G103" s="12">
        <f>G104+G105</f>
        <v>394804.52</v>
      </c>
      <c r="H103" s="69"/>
      <c r="I103" s="146">
        <f t="shared" si="9"/>
        <v>6.7993137662758871E-2</v>
      </c>
      <c r="J103" s="67"/>
      <c r="K103" s="68"/>
      <c r="L103" s="194"/>
    </row>
    <row r="104" spans="1:12" s="62" customFormat="1" x14ac:dyDescent="0.25">
      <c r="A104" s="33" t="s">
        <v>205</v>
      </c>
      <c r="B104" s="10" t="s">
        <v>448</v>
      </c>
      <c r="C104" s="9" t="s">
        <v>57</v>
      </c>
      <c r="D104" s="164">
        <v>1865</v>
      </c>
      <c r="E104" s="13">
        <v>206.46</v>
      </c>
      <c r="G104" s="13">
        <v>385047.9</v>
      </c>
      <c r="H104" s="69"/>
      <c r="I104" s="146">
        <f t="shared" si="9"/>
        <v>6.6312854957831305E-2</v>
      </c>
      <c r="J104" s="67"/>
      <c r="K104" s="68"/>
      <c r="L104" s="194"/>
    </row>
    <row r="105" spans="1:12" s="62" customFormat="1" x14ac:dyDescent="0.25">
      <c r="A105" s="33" t="s">
        <v>344</v>
      </c>
      <c r="B105" s="10" t="s">
        <v>450</v>
      </c>
      <c r="C105" s="9" t="s">
        <v>23</v>
      </c>
      <c r="D105" s="164">
        <v>62.1</v>
      </c>
      <c r="E105" s="13">
        <v>157.1</v>
      </c>
      <c r="G105" s="13">
        <v>9756.6200000000008</v>
      </c>
      <c r="H105" s="69"/>
      <c r="I105" s="146">
        <f t="shared" si="9"/>
        <v>1.6802827049275588E-3</v>
      </c>
      <c r="J105" s="67"/>
      <c r="K105" s="68"/>
      <c r="L105" s="194"/>
    </row>
    <row r="106" spans="1:12" s="62" customFormat="1" x14ac:dyDescent="0.25">
      <c r="A106" s="32" t="s">
        <v>345</v>
      </c>
      <c r="B106" s="8" t="s">
        <v>215</v>
      </c>
      <c r="C106" s="9"/>
      <c r="D106" s="164"/>
      <c r="E106" s="13"/>
      <c r="G106" s="12"/>
      <c r="H106" s="143">
        <f>G107+G109+G123</f>
        <v>4882545.1100000003</v>
      </c>
      <c r="I106" s="145">
        <f>H106/$K$93</f>
        <v>0.84087072206989966</v>
      </c>
      <c r="J106" s="67"/>
      <c r="K106" s="68"/>
      <c r="L106" s="194"/>
    </row>
    <row r="107" spans="1:12" s="62" customFormat="1" x14ac:dyDescent="0.25">
      <c r="A107" s="32" t="s">
        <v>346</v>
      </c>
      <c r="B107" s="8" t="s">
        <v>217</v>
      </c>
      <c r="C107" s="9"/>
      <c r="D107" s="164"/>
      <c r="E107" s="13"/>
      <c r="G107" s="12">
        <f>G108</f>
        <v>92107.31</v>
      </c>
      <c r="H107" s="69"/>
      <c r="I107" s="146">
        <f>G107/$K$93</f>
        <v>1.5862698351519395E-2</v>
      </c>
      <c r="J107" s="67"/>
      <c r="K107" s="68"/>
      <c r="L107" s="194"/>
    </row>
    <row r="108" spans="1:12" s="62" customFormat="1" ht="25.5" x14ac:dyDescent="0.25">
      <c r="A108" s="33" t="s">
        <v>347</v>
      </c>
      <c r="B108" s="10" t="s">
        <v>219</v>
      </c>
      <c r="C108" s="9" t="s">
        <v>26</v>
      </c>
      <c r="D108" s="164">
        <v>117.92</v>
      </c>
      <c r="E108" s="13">
        <v>781.1</v>
      </c>
      <c r="G108" s="13">
        <v>92107.31</v>
      </c>
      <c r="H108" s="69"/>
      <c r="I108" s="146">
        <f>G108/$K$93</f>
        <v>1.5862698351519395E-2</v>
      </c>
      <c r="J108" s="67"/>
      <c r="K108" s="68"/>
      <c r="L108" s="194"/>
    </row>
    <row r="109" spans="1:12" s="62" customFormat="1" x14ac:dyDescent="0.25">
      <c r="A109" s="32" t="s">
        <v>348</v>
      </c>
      <c r="B109" s="8" t="s">
        <v>221</v>
      </c>
      <c r="C109" s="9"/>
      <c r="D109" s="164"/>
      <c r="E109" s="13"/>
      <c r="G109" s="12">
        <f>SUM(G110:G122)</f>
        <v>2788023.54</v>
      </c>
      <c r="H109" s="69"/>
      <c r="I109" s="146">
        <f t="shared" ref="I109:I125" si="10">G109/$K$93</f>
        <v>0.48015273067854519</v>
      </c>
      <c r="J109" s="67"/>
      <c r="K109" s="68"/>
      <c r="L109" s="194"/>
    </row>
    <row r="110" spans="1:12" s="62" customFormat="1" x14ac:dyDescent="0.25">
      <c r="A110" s="33" t="s">
        <v>349</v>
      </c>
      <c r="B110" s="10" t="s">
        <v>223</v>
      </c>
      <c r="C110" s="9" t="s">
        <v>26</v>
      </c>
      <c r="D110" s="164">
        <v>229.2</v>
      </c>
      <c r="E110" s="13">
        <v>89.09</v>
      </c>
      <c r="G110" s="13">
        <v>20419.43</v>
      </c>
      <c r="H110" s="69"/>
      <c r="I110" s="146">
        <f t="shared" si="10"/>
        <v>3.5166292295363494E-3</v>
      </c>
      <c r="J110" s="67"/>
      <c r="K110" s="68"/>
      <c r="L110" s="194"/>
    </row>
    <row r="111" spans="1:12" s="62" customFormat="1" x14ac:dyDescent="0.25">
      <c r="A111" s="33" t="s">
        <v>381</v>
      </c>
      <c r="B111" s="10" t="s">
        <v>225</v>
      </c>
      <c r="C111" s="9" t="s">
        <v>20</v>
      </c>
      <c r="D111" s="164">
        <v>114.6</v>
      </c>
      <c r="E111" s="13">
        <v>39.33</v>
      </c>
      <c r="G111" s="13">
        <v>4507.22</v>
      </c>
      <c r="H111" s="69"/>
      <c r="I111" s="146">
        <f t="shared" si="10"/>
        <v>7.7623232362268807E-4</v>
      </c>
      <c r="J111" s="67"/>
      <c r="K111" s="68"/>
      <c r="L111" s="194"/>
    </row>
    <row r="112" spans="1:12" s="62" customFormat="1" x14ac:dyDescent="0.25">
      <c r="A112" s="33" t="s">
        <v>382</v>
      </c>
      <c r="B112" s="10" t="s">
        <v>65</v>
      </c>
      <c r="C112" s="9" t="s">
        <v>42</v>
      </c>
      <c r="D112" s="164">
        <v>13752</v>
      </c>
      <c r="E112" s="13">
        <v>11.15</v>
      </c>
      <c r="G112" s="13">
        <v>153334.79999999999</v>
      </c>
      <c r="H112" s="69"/>
      <c r="I112" s="146">
        <f t="shared" si="10"/>
        <v>2.6407281671677916E-2</v>
      </c>
      <c r="J112" s="67"/>
      <c r="K112" s="68"/>
      <c r="L112" s="194"/>
    </row>
    <row r="113" spans="1:12" s="62" customFormat="1" x14ac:dyDescent="0.25">
      <c r="A113" s="33" t="s">
        <v>382</v>
      </c>
      <c r="B113" s="10" t="s">
        <v>228</v>
      </c>
      <c r="C113" s="9" t="s">
        <v>26</v>
      </c>
      <c r="D113" s="164">
        <v>229.2</v>
      </c>
      <c r="E113" s="13">
        <v>875.73</v>
      </c>
      <c r="G113" s="13">
        <v>200717.32</v>
      </c>
      <c r="H113" s="69"/>
      <c r="I113" s="146">
        <f t="shared" si="10"/>
        <v>3.4567487652015796E-2</v>
      </c>
      <c r="J113" s="67"/>
      <c r="K113" s="68"/>
      <c r="L113" s="194"/>
    </row>
    <row r="114" spans="1:12" s="62" customFormat="1" ht="25.5" x14ac:dyDescent="0.25">
      <c r="A114" s="33" t="s">
        <v>383</v>
      </c>
      <c r="B114" s="10" t="s">
        <v>230</v>
      </c>
      <c r="C114" s="9" t="s">
        <v>20</v>
      </c>
      <c r="D114" s="164">
        <v>790.74</v>
      </c>
      <c r="E114" s="13">
        <v>151.13</v>
      </c>
      <c r="G114" s="13">
        <v>119504.54</v>
      </c>
      <c r="H114" s="69"/>
      <c r="I114" s="146">
        <f t="shared" si="10"/>
        <v>2.0581042586707652E-2</v>
      </c>
      <c r="J114" s="67"/>
      <c r="K114" s="68"/>
      <c r="L114" s="194"/>
    </row>
    <row r="115" spans="1:12" s="62" customFormat="1" x14ac:dyDescent="0.25">
      <c r="A115" s="33" t="s">
        <v>384</v>
      </c>
      <c r="B115" s="10" t="s">
        <v>232</v>
      </c>
      <c r="C115" s="9" t="s">
        <v>20</v>
      </c>
      <c r="D115" s="164">
        <v>550.08000000000004</v>
      </c>
      <c r="E115" s="13">
        <v>51.45</v>
      </c>
      <c r="G115" s="13">
        <v>28301.62</v>
      </c>
      <c r="H115" s="69"/>
      <c r="I115" s="146">
        <f t="shared" si="10"/>
        <v>4.8740980593106921E-3</v>
      </c>
      <c r="J115" s="67"/>
      <c r="K115" s="68"/>
      <c r="L115" s="194"/>
    </row>
    <row r="116" spans="1:12" s="62" customFormat="1" x14ac:dyDescent="0.25">
      <c r="A116" s="33" t="s">
        <v>385</v>
      </c>
      <c r="B116" s="10" t="s">
        <v>234</v>
      </c>
      <c r="C116" s="9" t="s">
        <v>20</v>
      </c>
      <c r="D116" s="164">
        <v>1890.9</v>
      </c>
      <c r="E116" s="13">
        <v>56.18</v>
      </c>
      <c r="G116" s="13">
        <v>106230.76</v>
      </c>
      <c r="H116" s="69"/>
      <c r="I116" s="146">
        <f t="shared" si="10"/>
        <v>1.8295035448681028E-2</v>
      </c>
      <c r="J116" s="67"/>
      <c r="K116" s="68"/>
      <c r="L116" s="194"/>
    </row>
    <row r="117" spans="1:12" s="62" customFormat="1" x14ac:dyDescent="0.25">
      <c r="A117" s="33" t="s">
        <v>386</v>
      </c>
      <c r="B117" s="10" t="s">
        <v>236</v>
      </c>
      <c r="C117" s="9" t="s">
        <v>42</v>
      </c>
      <c r="D117" s="164">
        <v>28787.52</v>
      </c>
      <c r="E117" s="13">
        <v>14.93</v>
      </c>
      <c r="G117" s="13">
        <v>429797.67</v>
      </c>
      <c r="H117" s="69"/>
      <c r="I117" s="146">
        <f t="shared" si="10"/>
        <v>7.4019649378489899E-2</v>
      </c>
      <c r="J117" s="67"/>
      <c r="K117" s="68"/>
      <c r="L117" s="194"/>
    </row>
    <row r="118" spans="1:12" s="62" customFormat="1" x14ac:dyDescent="0.25">
      <c r="A118" s="33" t="s">
        <v>387</v>
      </c>
      <c r="B118" s="10" t="s">
        <v>238</v>
      </c>
      <c r="C118" s="9" t="s">
        <v>42</v>
      </c>
      <c r="D118" s="164">
        <v>25189.08</v>
      </c>
      <c r="E118" s="13">
        <v>14.32</v>
      </c>
      <c r="G118" s="13">
        <v>360707.63</v>
      </c>
      <c r="H118" s="69"/>
      <c r="I118" s="146">
        <f t="shared" si="10"/>
        <v>6.2120979624543028E-2</v>
      </c>
      <c r="J118" s="67"/>
      <c r="K118" s="68"/>
      <c r="L118" s="194"/>
    </row>
    <row r="119" spans="1:12" s="62" customFormat="1" x14ac:dyDescent="0.25">
      <c r="A119" s="33" t="s">
        <v>388</v>
      </c>
      <c r="B119" s="10" t="s">
        <v>240</v>
      </c>
      <c r="C119" s="9" t="s">
        <v>42</v>
      </c>
      <c r="D119" s="164">
        <v>17992.2</v>
      </c>
      <c r="E119" s="13">
        <v>10.039999999999999</v>
      </c>
      <c r="G119" s="13">
        <v>180641.69</v>
      </c>
      <c r="H119" s="69"/>
      <c r="I119" s="146">
        <f t="shared" si="10"/>
        <v>3.1110067574209668E-2</v>
      </c>
      <c r="J119" s="67"/>
      <c r="K119" s="68"/>
      <c r="L119" s="194"/>
    </row>
    <row r="120" spans="1:12" s="62" customFormat="1" x14ac:dyDescent="0.25">
      <c r="A120" s="33" t="s">
        <v>389</v>
      </c>
      <c r="B120" s="10" t="s">
        <v>242</v>
      </c>
      <c r="C120" s="9" t="s">
        <v>26</v>
      </c>
      <c r="D120" s="164">
        <v>45.84</v>
      </c>
      <c r="E120" s="13">
        <v>805.4</v>
      </c>
      <c r="G120" s="13">
        <v>36919.54</v>
      </c>
      <c r="H120" s="69"/>
      <c r="I120" s="146">
        <f t="shared" si="10"/>
        <v>6.3582741293481959E-3</v>
      </c>
      <c r="J120" s="67"/>
      <c r="K120" s="68"/>
      <c r="L120" s="194"/>
    </row>
    <row r="121" spans="1:12" s="62" customFormat="1" ht="25.5" x14ac:dyDescent="0.25">
      <c r="A121" s="33" t="s">
        <v>390</v>
      </c>
      <c r="B121" s="10" t="s">
        <v>244</v>
      </c>
      <c r="C121" s="9" t="s">
        <v>26</v>
      </c>
      <c r="D121" s="164">
        <v>1065.78</v>
      </c>
      <c r="E121" s="13">
        <v>641.98</v>
      </c>
      <c r="G121" s="13">
        <v>684209.44</v>
      </c>
      <c r="H121" s="69"/>
      <c r="I121" s="146">
        <f t="shared" si="10"/>
        <v>0.11783438204830873</v>
      </c>
      <c r="J121" s="67"/>
      <c r="K121" s="68"/>
      <c r="L121" s="194"/>
    </row>
    <row r="122" spans="1:12" s="62" customFormat="1" x14ac:dyDescent="0.25">
      <c r="A122" s="33" t="s">
        <v>391</v>
      </c>
      <c r="B122" s="10" t="s">
        <v>246</v>
      </c>
      <c r="C122" s="9" t="s">
        <v>57</v>
      </c>
      <c r="D122" s="164">
        <v>2292</v>
      </c>
      <c r="E122" s="13">
        <v>201.89</v>
      </c>
      <c r="G122" s="13">
        <v>462731.88</v>
      </c>
      <c r="H122" s="69"/>
      <c r="I122" s="146">
        <f t="shared" si="10"/>
        <v>7.9691570952093491E-2</v>
      </c>
      <c r="J122" s="67"/>
      <c r="K122" s="68"/>
      <c r="L122" s="194"/>
    </row>
    <row r="123" spans="1:12" s="62" customFormat="1" x14ac:dyDescent="0.25">
      <c r="A123" s="32" t="s">
        <v>350</v>
      </c>
      <c r="B123" s="8" t="s">
        <v>248</v>
      </c>
      <c r="C123" s="9"/>
      <c r="D123" s="164"/>
      <c r="E123" s="13"/>
      <c r="G123" s="12">
        <f>SUM(G124:G125)</f>
        <v>2002414.26</v>
      </c>
      <c r="H123" s="69"/>
      <c r="I123" s="146">
        <f t="shared" si="10"/>
        <v>0.34485529303983509</v>
      </c>
      <c r="J123" s="67"/>
      <c r="K123" s="68"/>
      <c r="L123" s="194"/>
    </row>
    <row r="124" spans="1:12" s="62" customFormat="1" ht="25.5" x14ac:dyDescent="0.25">
      <c r="A124" s="33" t="s">
        <v>351</v>
      </c>
      <c r="B124" s="10" t="s">
        <v>250</v>
      </c>
      <c r="C124" s="9" t="s">
        <v>26</v>
      </c>
      <c r="D124" s="164">
        <v>462</v>
      </c>
      <c r="E124" s="13">
        <v>3911.67</v>
      </c>
      <c r="G124" s="13">
        <v>1807191.54</v>
      </c>
      <c r="H124" s="69"/>
      <c r="I124" s="146">
        <f t="shared" si="10"/>
        <v>0.3112340840530225</v>
      </c>
      <c r="J124" s="67"/>
      <c r="K124" s="68"/>
      <c r="L124" s="194"/>
    </row>
    <row r="125" spans="1:12" s="62" customFormat="1" x14ac:dyDescent="0.25">
      <c r="A125" s="33" t="s">
        <v>352</v>
      </c>
      <c r="B125" s="10" t="s">
        <v>252</v>
      </c>
      <c r="C125" s="9" t="s">
        <v>57</v>
      </c>
      <c r="D125" s="164">
        <v>1848</v>
      </c>
      <c r="E125" s="13">
        <v>105.64</v>
      </c>
      <c r="G125" s="13">
        <v>195222.72</v>
      </c>
      <c r="H125" s="69"/>
      <c r="I125" s="146">
        <f t="shared" si="10"/>
        <v>3.3621208986812583E-2</v>
      </c>
      <c r="J125" s="67"/>
      <c r="K125" s="68"/>
      <c r="L125" s="194"/>
    </row>
    <row r="126" spans="1:12" s="62" customFormat="1" x14ac:dyDescent="0.25">
      <c r="A126" s="32" t="s">
        <v>392</v>
      </c>
      <c r="B126" s="8" t="s">
        <v>254</v>
      </c>
      <c r="C126" s="9"/>
      <c r="D126" s="164"/>
      <c r="E126" s="13"/>
      <c r="G126" s="12"/>
      <c r="H126" s="143">
        <f>G127</f>
        <v>224274.18</v>
      </c>
      <c r="I126" s="145">
        <f>H126/$K$93</f>
        <v>3.8624444307127893E-2</v>
      </c>
      <c r="J126" s="67"/>
      <c r="K126" s="68"/>
      <c r="L126" s="194"/>
    </row>
    <row r="127" spans="1:12" s="62" customFormat="1" x14ac:dyDescent="0.25">
      <c r="A127" s="32" t="s">
        <v>354</v>
      </c>
      <c r="B127" s="8" t="s">
        <v>256</v>
      </c>
      <c r="C127" s="9"/>
      <c r="D127" s="164"/>
      <c r="E127" s="13"/>
      <c r="G127" s="12">
        <f>G128</f>
        <v>224274.18</v>
      </c>
      <c r="H127" s="69"/>
      <c r="I127" s="146">
        <f>G127/$K$93</f>
        <v>3.8624444307127893E-2</v>
      </c>
      <c r="J127" s="67"/>
      <c r="K127" s="68"/>
      <c r="L127" s="194"/>
    </row>
    <row r="128" spans="1:12" s="62" customFormat="1" x14ac:dyDescent="0.25">
      <c r="A128" s="33" t="s">
        <v>355</v>
      </c>
      <c r="B128" s="10" t="s">
        <v>258</v>
      </c>
      <c r="C128" s="9" t="s">
        <v>57</v>
      </c>
      <c r="D128" s="164">
        <v>3183</v>
      </c>
      <c r="E128" s="13">
        <v>70.459999999999994</v>
      </c>
      <c r="G128" s="13">
        <v>224274.18</v>
      </c>
      <c r="H128" s="69"/>
      <c r="I128" s="146">
        <f>G128/$K$93</f>
        <v>3.8624444307127893E-2</v>
      </c>
      <c r="J128" s="67"/>
      <c r="K128" s="68"/>
      <c r="L128" s="194"/>
    </row>
    <row r="129" spans="1:12" s="62" customFormat="1" x14ac:dyDescent="0.25">
      <c r="A129" s="32" t="s">
        <v>373</v>
      </c>
      <c r="B129" s="8" t="s">
        <v>260</v>
      </c>
      <c r="C129" s="9"/>
      <c r="D129" s="164"/>
      <c r="E129" s="13"/>
      <c r="G129" s="12"/>
      <c r="H129" s="143">
        <f>G130+G132</f>
        <v>72436</v>
      </c>
      <c r="I129" s="145">
        <f>H129/$K$93</f>
        <v>1.2474910165009259E-2</v>
      </c>
      <c r="J129" s="67"/>
      <c r="K129" s="68"/>
      <c r="L129" s="194"/>
    </row>
    <row r="130" spans="1:12" s="62" customFormat="1" x14ac:dyDescent="0.25">
      <c r="A130" s="32" t="s">
        <v>374</v>
      </c>
      <c r="B130" s="8" t="s">
        <v>262</v>
      </c>
      <c r="C130" s="9"/>
      <c r="D130" s="164"/>
      <c r="E130" s="13"/>
      <c r="G130" s="12">
        <f>G131</f>
        <v>48500</v>
      </c>
      <c r="H130" s="69"/>
      <c r="I130" s="146">
        <f>G130/$K$93</f>
        <v>8.3526581120292268E-3</v>
      </c>
      <c r="J130" s="67"/>
      <c r="K130" s="68"/>
      <c r="L130" s="194"/>
    </row>
    <row r="131" spans="1:12" s="62" customFormat="1" x14ac:dyDescent="0.25">
      <c r="A131" s="33" t="s">
        <v>375</v>
      </c>
      <c r="B131" s="10" t="s">
        <v>264</v>
      </c>
      <c r="C131" s="9" t="s">
        <v>23</v>
      </c>
      <c r="D131" s="164">
        <v>97</v>
      </c>
      <c r="E131" s="13">
        <v>500</v>
      </c>
      <c r="G131" s="13">
        <v>48500</v>
      </c>
      <c r="H131" s="69"/>
      <c r="I131" s="146">
        <f t="shared" ref="I131:I132" si="11">G131/$K$93</f>
        <v>8.3526581120292268E-3</v>
      </c>
      <c r="J131" s="67"/>
      <c r="K131" s="68"/>
      <c r="L131" s="194"/>
    </row>
    <row r="132" spans="1:12" s="62" customFormat="1" x14ac:dyDescent="0.25">
      <c r="A132" s="32" t="s">
        <v>393</v>
      </c>
      <c r="B132" s="8" t="s">
        <v>266</v>
      </c>
      <c r="C132" s="9"/>
      <c r="D132" s="164"/>
      <c r="E132" s="13"/>
      <c r="G132" s="12">
        <f>G133</f>
        <v>23936</v>
      </c>
      <c r="H132" s="69"/>
      <c r="I132" s="146">
        <f t="shared" si="11"/>
        <v>4.1222520529800325E-3</v>
      </c>
      <c r="J132" s="67"/>
      <c r="K132" s="68"/>
      <c r="L132" s="194"/>
    </row>
    <row r="133" spans="1:12" s="62" customFormat="1" ht="13.5" thickBot="1" x14ac:dyDescent="0.3">
      <c r="A133" s="34" t="s">
        <v>394</v>
      </c>
      <c r="B133" s="35" t="s">
        <v>268</v>
      </c>
      <c r="C133" s="36" t="s">
        <v>23</v>
      </c>
      <c r="D133" s="168">
        <v>17</v>
      </c>
      <c r="E133" s="37">
        <v>1408</v>
      </c>
      <c r="F133" s="157"/>
      <c r="G133" s="37">
        <v>23936</v>
      </c>
      <c r="H133" s="203"/>
      <c r="I133" s="151">
        <f>G133/$K$93</f>
        <v>4.1222520529800325E-3</v>
      </c>
      <c r="J133" s="77"/>
      <c r="K133" s="78"/>
      <c r="L133" s="198"/>
    </row>
    <row r="135" spans="1:12" s="7" customFormat="1" ht="15" x14ac:dyDescent="0.25">
      <c r="A135" s="11"/>
      <c r="B135" s="98" t="s">
        <v>271</v>
      </c>
      <c r="C135" s="9"/>
      <c r="D135" s="99"/>
      <c r="E135" s="95"/>
      <c r="G135" s="297">
        <f>SUM(K5:K91)</f>
        <v>5341713.1899999995</v>
      </c>
      <c r="H135" s="298"/>
      <c r="I135" s="298"/>
      <c r="J135" s="298"/>
      <c r="K135" s="299"/>
      <c r="L135" s="163">
        <v>1</v>
      </c>
    </row>
    <row r="136" spans="1:12" s="7" customFormat="1" ht="15" x14ac:dyDescent="0.25">
      <c r="A136" s="18"/>
      <c r="B136" s="98" t="s">
        <v>272</v>
      </c>
      <c r="C136" s="18"/>
      <c r="D136" s="144"/>
      <c r="E136" s="132"/>
      <c r="G136" s="297">
        <f>K93</f>
        <v>5806534.7999999998</v>
      </c>
      <c r="H136" s="298"/>
      <c r="I136" s="298"/>
      <c r="J136" s="298"/>
      <c r="K136" s="299"/>
      <c r="L136" s="163">
        <v>1</v>
      </c>
    </row>
    <row r="137" spans="1:12" s="7" customFormat="1" ht="15" x14ac:dyDescent="0.25">
      <c r="A137" s="18"/>
      <c r="B137" s="98" t="s">
        <v>270</v>
      </c>
      <c r="C137" s="18"/>
      <c r="D137" s="144"/>
      <c r="E137" s="132"/>
      <c r="G137" s="297">
        <f>G135+G136</f>
        <v>11148247.989999998</v>
      </c>
      <c r="H137" s="298"/>
      <c r="I137" s="298"/>
      <c r="J137" s="298"/>
      <c r="K137" s="299"/>
      <c r="L137" s="126"/>
    </row>
    <row r="138" spans="1:12" s="62" customFormat="1" x14ac:dyDescent="0.25">
      <c r="A138" s="63"/>
      <c r="B138" s="41"/>
      <c r="C138" s="42"/>
      <c r="D138" s="43"/>
      <c r="E138" s="61"/>
      <c r="F138" s="42"/>
      <c r="G138" s="42"/>
      <c r="H138" s="42"/>
      <c r="I138" s="42"/>
      <c r="J138" s="42"/>
      <c r="L138" s="42"/>
    </row>
  </sheetData>
  <mergeCells count="5">
    <mergeCell ref="G136:K136"/>
    <mergeCell ref="G137:K137"/>
    <mergeCell ref="G3:L3"/>
    <mergeCell ref="G4:H4"/>
    <mergeCell ref="G135:K135"/>
  </mergeCells>
  <pageMargins left="0.511811024" right="0.511811024" top="0.78740157499999996" bottom="0.78740157499999996" header="0.31496062000000002" footer="0.31496062000000002"/>
  <pageSetup paperSize="8" scale="82" fitToHeight="0" orientation="landscape" horizontalDpi="1200" verticalDpi="1200" r:id="rId1"/>
  <ignoredErrors>
    <ignoredError sqref="I64 I69 I87 I80 I129 I126 I106 I100"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F479-AEC2-4B4F-ABE8-A9665D70F926}">
  <sheetPr>
    <pageSetUpPr fitToPage="1"/>
  </sheetPr>
  <dimension ref="A1:N90"/>
  <sheetViews>
    <sheetView workbookViewId="0">
      <pane ySplit="4" topLeftCell="A59" activePane="bottomLeft" state="frozen"/>
      <selection pane="bottomLeft" activeCell="H100" sqref="H100"/>
    </sheetView>
  </sheetViews>
  <sheetFormatPr defaultColWidth="9.140625" defaultRowHeight="12.75" x14ac:dyDescent="0.25"/>
  <cols>
    <col min="1" max="1" width="18.7109375" style="63" customWidth="1"/>
    <col min="2" max="2" width="92.7109375" style="41" customWidth="1"/>
    <col min="3" max="3" width="6.7109375" style="42" customWidth="1"/>
    <col min="4" max="4" width="10.7109375" style="87" customWidth="1"/>
    <col min="5" max="5" width="16.7109375" style="61" customWidth="1"/>
    <col min="6" max="6" width="2.42578125" style="62" customWidth="1"/>
    <col min="7" max="7" width="15.5703125" style="103" bestFit="1" customWidth="1"/>
    <col min="8" max="8" width="16.42578125" style="62" customWidth="1"/>
    <col min="9" max="9" width="14.42578125" style="42" customWidth="1"/>
    <col min="10" max="10" width="1.140625" style="62" customWidth="1"/>
    <col min="11" max="11" width="15.42578125" style="62" customWidth="1"/>
    <col min="12" max="13" width="9.140625" style="62"/>
    <col min="14" max="14" width="15.5703125" style="62" bestFit="1" customWidth="1"/>
    <col min="15" max="16384" width="9.140625" style="62"/>
  </cols>
  <sheetData>
    <row r="1" spans="1:12" x14ac:dyDescent="0.25">
      <c r="A1" s="59" t="s">
        <v>4</v>
      </c>
    </row>
    <row r="3" spans="1:12" x14ac:dyDescent="0.25">
      <c r="A3" s="59" t="s">
        <v>567</v>
      </c>
      <c r="G3" s="294" t="s">
        <v>11</v>
      </c>
      <c r="H3" s="294"/>
      <c r="I3" s="294"/>
      <c r="J3" s="294"/>
      <c r="K3" s="294"/>
      <c r="L3" s="294"/>
    </row>
    <row r="4" spans="1:12" ht="13.5" thickBot="1" x14ac:dyDescent="0.3">
      <c r="A4" s="46" t="s">
        <v>6</v>
      </c>
      <c r="B4" s="47" t="s">
        <v>7</v>
      </c>
      <c r="C4" s="46" t="s">
        <v>8</v>
      </c>
      <c r="D4" s="48" t="s">
        <v>9</v>
      </c>
      <c r="E4" s="178" t="s">
        <v>10</v>
      </c>
      <c r="G4" s="295" t="s">
        <v>273</v>
      </c>
      <c r="H4" s="296"/>
      <c r="I4" s="104" t="s">
        <v>275</v>
      </c>
      <c r="J4" s="141"/>
      <c r="K4" s="93" t="s">
        <v>274</v>
      </c>
      <c r="L4" s="104" t="s">
        <v>12</v>
      </c>
    </row>
    <row r="5" spans="1:12" x14ac:dyDescent="0.25">
      <c r="A5" s="25">
        <v>1</v>
      </c>
      <c r="B5" s="26" t="s">
        <v>568</v>
      </c>
      <c r="C5" s="27"/>
      <c r="D5" s="172"/>
      <c r="E5" s="29"/>
      <c r="F5" s="156"/>
      <c r="G5" s="105"/>
      <c r="H5" s="204"/>
      <c r="I5" s="193"/>
      <c r="J5" s="204"/>
      <c r="K5" s="73">
        <f>SUM(H5:H30)</f>
        <v>74337.03</v>
      </c>
      <c r="L5" s="74">
        <f>K5/$G$88</f>
        <v>3.9673322131240141E-2</v>
      </c>
    </row>
    <row r="6" spans="1:12" x14ac:dyDescent="0.25">
      <c r="A6" s="32" t="s">
        <v>14</v>
      </c>
      <c r="B6" s="8" t="s">
        <v>15</v>
      </c>
      <c r="C6" s="9"/>
      <c r="D6" s="164"/>
      <c r="E6" s="13"/>
      <c r="G6" s="109"/>
      <c r="H6" s="143">
        <f>G7</f>
        <v>905.34999999999991</v>
      </c>
      <c r="I6" s="145">
        <f>H6/$K$5</f>
        <v>1.2178990739877554E-2</v>
      </c>
      <c r="J6" s="69"/>
      <c r="K6" s="68"/>
      <c r="L6" s="75"/>
    </row>
    <row r="7" spans="1:12" x14ac:dyDescent="0.25">
      <c r="A7" s="32" t="s">
        <v>16</v>
      </c>
      <c r="B7" s="8" t="s">
        <v>17</v>
      </c>
      <c r="C7" s="9"/>
      <c r="D7" s="164"/>
      <c r="E7" s="13"/>
      <c r="G7" s="109">
        <f>SUM(G8:G11)</f>
        <v>905.34999999999991</v>
      </c>
      <c r="H7" s="69"/>
      <c r="I7" s="146">
        <f>G7/$K$5</f>
        <v>1.2178990739877554E-2</v>
      </c>
      <c r="J7" s="69"/>
      <c r="K7" s="68"/>
      <c r="L7" s="75"/>
    </row>
    <row r="8" spans="1:12" x14ac:dyDescent="0.25">
      <c r="A8" s="33" t="s">
        <v>18</v>
      </c>
      <c r="B8" s="10" t="s">
        <v>19</v>
      </c>
      <c r="C8" s="9" t="s">
        <v>20</v>
      </c>
      <c r="D8" s="164">
        <v>33</v>
      </c>
      <c r="E8" s="13">
        <v>4.38</v>
      </c>
      <c r="G8" s="95">
        <v>144.54</v>
      </c>
      <c r="H8" s="69"/>
      <c r="I8" s="146">
        <f t="shared" ref="I8:I11" si="0">G8/$K$5</f>
        <v>1.9443876087059167E-3</v>
      </c>
      <c r="J8" s="69"/>
      <c r="K8" s="68"/>
      <c r="L8" s="75"/>
    </row>
    <row r="9" spans="1:12" x14ac:dyDescent="0.25">
      <c r="A9" s="33" t="s">
        <v>21</v>
      </c>
      <c r="B9" s="10" t="s">
        <v>22</v>
      </c>
      <c r="C9" s="9" t="s">
        <v>23</v>
      </c>
      <c r="D9" s="164">
        <v>0.83</v>
      </c>
      <c r="E9" s="13">
        <v>217.25</v>
      </c>
      <c r="G9" s="95">
        <v>179.23</v>
      </c>
      <c r="H9" s="69"/>
      <c r="I9" s="146">
        <f t="shared" si="0"/>
        <v>2.4110460156936591E-3</v>
      </c>
      <c r="J9" s="69"/>
      <c r="K9" s="68"/>
      <c r="L9" s="75"/>
    </row>
    <row r="10" spans="1:12" x14ac:dyDescent="0.25">
      <c r="A10" s="33" t="s">
        <v>24</v>
      </c>
      <c r="B10" s="10" t="s">
        <v>25</v>
      </c>
      <c r="C10" s="9" t="s">
        <v>26</v>
      </c>
      <c r="D10" s="164">
        <v>9.9</v>
      </c>
      <c r="E10" s="13">
        <v>17.54</v>
      </c>
      <c r="G10" s="95">
        <v>173.65</v>
      </c>
      <c r="H10" s="69"/>
      <c r="I10" s="146">
        <f t="shared" si="0"/>
        <v>2.3359824840997819E-3</v>
      </c>
      <c r="J10" s="69"/>
      <c r="K10" s="68"/>
      <c r="L10" s="75"/>
    </row>
    <row r="11" spans="1:12" ht="25.5" x14ac:dyDescent="0.25">
      <c r="A11" s="33" t="s">
        <v>27</v>
      </c>
      <c r="B11" s="10" t="s">
        <v>28</v>
      </c>
      <c r="C11" s="9" t="s">
        <v>29</v>
      </c>
      <c r="D11" s="164">
        <v>198.99</v>
      </c>
      <c r="E11" s="13">
        <v>2.0499999999999998</v>
      </c>
      <c r="G11" s="95">
        <v>407.93</v>
      </c>
      <c r="H11" s="69"/>
      <c r="I11" s="146">
        <f t="shared" si="0"/>
        <v>5.4875746313781974E-3</v>
      </c>
      <c r="J11" s="69"/>
      <c r="K11" s="68"/>
      <c r="L11" s="75"/>
    </row>
    <row r="12" spans="1:12" x14ac:dyDescent="0.25">
      <c r="A12" s="32" t="s">
        <v>30</v>
      </c>
      <c r="B12" s="8" t="s">
        <v>31</v>
      </c>
      <c r="C12" s="9"/>
      <c r="D12" s="164"/>
      <c r="E12" s="13"/>
      <c r="G12" s="109"/>
      <c r="H12" s="143">
        <f>G13</f>
        <v>73095.62999999999</v>
      </c>
      <c r="I12" s="145">
        <f>H12/$K$5</f>
        <v>0.98330038205723302</v>
      </c>
      <c r="J12" s="69"/>
      <c r="K12" s="68"/>
      <c r="L12" s="75"/>
    </row>
    <row r="13" spans="1:12" x14ac:dyDescent="0.25">
      <c r="A13" s="32" t="s">
        <v>32</v>
      </c>
      <c r="B13" s="8" t="s">
        <v>37</v>
      </c>
      <c r="C13" s="9"/>
      <c r="D13" s="164"/>
      <c r="E13" s="13"/>
      <c r="G13" s="109">
        <f>SUM(G14:G27)</f>
        <v>73095.62999999999</v>
      </c>
      <c r="H13" s="69"/>
      <c r="I13" s="146">
        <f>G13/$K$5</f>
        <v>0.98330038205723302</v>
      </c>
      <c r="J13" s="69"/>
      <c r="K13" s="68"/>
      <c r="L13" s="75"/>
    </row>
    <row r="14" spans="1:12" ht="25.5" x14ac:dyDescent="0.25">
      <c r="A14" s="33" t="s">
        <v>34</v>
      </c>
      <c r="B14" s="10" t="s">
        <v>39</v>
      </c>
      <c r="C14" s="9" t="s">
        <v>26</v>
      </c>
      <c r="D14" s="164">
        <v>13.2</v>
      </c>
      <c r="E14" s="13">
        <v>641.26</v>
      </c>
      <c r="G14" s="95">
        <v>8464.6299999999992</v>
      </c>
      <c r="H14" s="69"/>
      <c r="I14" s="146">
        <f t="shared" ref="I14:I27" si="1">G14/$K$5</f>
        <v>0.11386828341137653</v>
      </c>
      <c r="J14" s="69"/>
      <c r="K14" s="68"/>
      <c r="L14" s="75"/>
    </row>
    <row r="15" spans="1:12" x14ac:dyDescent="0.25">
      <c r="A15" s="33" t="s">
        <v>465</v>
      </c>
      <c r="B15" s="10" t="s">
        <v>41</v>
      </c>
      <c r="C15" s="9" t="s">
        <v>42</v>
      </c>
      <c r="D15" s="164">
        <v>330</v>
      </c>
      <c r="E15" s="13">
        <v>8.64</v>
      </c>
      <c r="G15" s="95">
        <v>2851.2</v>
      </c>
      <c r="H15" s="69"/>
      <c r="I15" s="146">
        <f t="shared" si="1"/>
        <v>3.8355043240226303E-2</v>
      </c>
      <c r="J15" s="69"/>
      <c r="K15" s="68"/>
      <c r="L15" s="75"/>
    </row>
    <row r="16" spans="1:12" x14ac:dyDescent="0.25">
      <c r="A16" s="33" t="s">
        <v>466</v>
      </c>
      <c r="B16" s="10" t="s">
        <v>44</v>
      </c>
      <c r="C16" s="9" t="s">
        <v>42</v>
      </c>
      <c r="D16" s="164">
        <v>594</v>
      </c>
      <c r="E16" s="13">
        <v>9.66</v>
      </c>
      <c r="G16" s="95">
        <v>5738.04</v>
      </c>
      <c r="H16" s="69"/>
      <c r="I16" s="146">
        <f t="shared" si="1"/>
        <v>7.7189524520955441E-2</v>
      </c>
      <c r="J16" s="69"/>
      <c r="K16" s="68"/>
      <c r="L16" s="75"/>
    </row>
    <row r="17" spans="1:12" x14ac:dyDescent="0.25">
      <c r="A17" s="33" t="s">
        <v>467</v>
      </c>
      <c r="B17" s="10" t="s">
        <v>46</v>
      </c>
      <c r="C17" s="9" t="s">
        <v>42</v>
      </c>
      <c r="D17" s="164">
        <v>594</v>
      </c>
      <c r="E17" s="13">
        <v>8.84</v>
      </c>
      <c r="G17" s="95">
        <v>5250.96</v>
      </c>
      <c r="H17" s="69"/>
      <c r="I17" s="146">
        <f t="shared" si="1"/>
        <v>7.0637204634083448E-2</v>
      </c>
      <c r="J17" s="69"/>
      <c r="K17" s="68"/>
      <c r="L17" s="75"/>
    </row>
    <row r="18" spans="1:12" x14ac:dyDescent="0.25">
      <c r="A18" s="33" t="s">
        <v>468</v>
      </c>
      <c r="B18" s="10" t="s">
        <v>48</v>
      </c>
      <c r="C18" s="9" t="s">
        <v>26</v>
      </c>
      <c r="D18" s="164">
        <v>26.4</v>
      </c>
      <c r="E18" s="13">
        <v>25.13</v>
      </c>
      <c r="G18" s="95">
        <v>663.43</v>
      </c>
      <c r="H18" s="69"/>
      <c r="I18" s="146">
        <f t="shared" si="1"/>
        <v>8.9246234346462318E-3</v>
      </c>
      <c r="J18" s="69"/>
      <c r="K18" s="68"/>
      <c r="L18" s="75"/>
    </row>
    <row r="19" spans="1:12" x14ac:dyDescent="0.25">
      <c r="A19" s="33" t="s">
        <v>469</v>
      </c>
      <c r="B19" s="10" t="s">
        <v>50</v>
      </c>
      <c r="C19" s="9" t="s">
        <v>26</v>
      </c>
      <c r="D19" s="164">
        <v>0.66</v>
      </c>
      <c r="E19" s="13">
        <v>900.01</v>
      </c>
      <c r="G19" s="95">
        <v>594.01</v>
      </c>
      <c r="H19" s="69"/>
      <c r="I19" s="146">
        <f t="shared" si="1"/>
        <v>7.9907685308385334E-3</v>
      </c>
      <c r="J19" s="69"/>
      <c r="K19" s="68"/>
      <c r="L19" s="75"/>
    </row>
    <row r="20" spans="1:12" x14ac:dyDescent="0.25">
      <c r="A20" s="33" t="s">
        <v>470</v>
      </c>
      <c r="B20" s="10" t="s">
        <v>52</v>
      </c>
      <c r="C20" s="9" t="s">
        <v>26</v>
      </c>
      <c r="D20" s="164">
        <v>0.66</v>
      </c>
      <c r="E20" s="13">
        <v>1002.12</v>
      </c>
      <c r="G20" s="95">
        <v>661.4</v>
      </c>
      <c r="H20" s="69"/>
      <c r="I20" s="146">
        <f t="shared" si="1"/>
        <v>8.8973153756613625E-3</v>
      </c>
      <c r="J20" s="69"/>
      <c r="K20" s="68"/>
      <c r="L20" s="75"/>
    </row>
    <row r="21" spans="1:12" x14ac:dyDescent="0.25">
      <c r="A21" s="33" t="s">
        <v>471</v>
      </c>
      <c r="B21" s="10" t="s">
        <v>54</v>
      </c>
      <c r="C21" s="9" t="s">
        <v>26</v>
      </c>
      <c r="D21" s="164">
        <v>16.5</v>
      </c>
      <c r="E21" s="13">
        <v>1037.21</v>
      </c>
      <c r="G21" s="95">
        <v>17113.97</v>
      </c>
      <c r="H21" s="69"/>
      <c r="I21" s="146">
        <f t="shared" si="1"/>
        <v>0.23022133114546009</v>
      </c>
      <c r="J21" s="69"/>
      <c r="K21" s="68"/>
      <c r="L21" s="75"/>
    </row>
    <row r="22" spans="1:12" x14ac:dyDescent="0.25">
      <c r="A22" s="33" t="s">
        <v>472</v>
      </c>
      <c r="B22" s="10" t="s">
        <v>56</v>
      </c>
      <c r="C22" s="9" t="s">
        <v>57</v>
      </c>
      <c r="D22" s="164">
        <v>16.5</v>
      </c>
      <c r="E22" s="13">
        <v>45.3</v>
      </c>
      <c r="G22" s="95">
        <v>747.45</v>
      </c>
      <c r="H22" s="69"/>
      <c r="I22" s="146">
        <f t="shared" si="1"/>
        <v>1.0054881127212105E-2</v>
      </c>
      <c r="J22" s="69"/>
      <c r="K22" s="68"/>
      <c r="L22" s="75"/>
    </row>
    <row r="23" spans="1:12" ht="25.5" x14ac:dyDescent="0.25">
      <c r="A23" s="33" t="s">
        <v>473</v>
      </c>
      <c r="B23" s="10" t="s">
        <v>59</v>
      </c>
      <c r="C23" s="9" t="s">
        <v>20</v>
      </c>
      <c r="D23" s="164">
        <v>33</v>
      </c>
      <c r="E23" s="13">
        <v>106.17</v>
      </c>
      <c r="G23" s="95">
        <v>3503.61</v>
      </c>
      <c r="H23" s="69"/>
      <c r="I23" s="146">
        <f t="shared" si="1"/>
        <v>4.7131422926097531E-2</v>
      </c>
      <c r="J23" s="69"/>
      <c r="K23" s="68"/>
      <c r="L23" s="75"/>
    </row>
    <row r="24" spans="1:12" ht="25.5" x14ac:dyDescent="0.25">
      <c r="A24" s="33" t="s">
        <v>474</v>
      </c>
      <c r="B24" s="10" t="s">
        <v>61</v>
      </c>
      <c r="C24" s="9" t="s">
        <v>26</v>
      </c>
      <c r="D24" s="164">
        <v>26.4</v>
      </c>
      <c r="E24" s="13">
        <v>56.85</v>
      </c>
      <c r="G24" s="95">
        <v>1500.84</v>
      </c>
      <c r="H24" s="69"/>
      <c r="I24" s="146">
        <f t="shared" si="1"/>
        <v>2.0189668594508013E-2</v>
      </c>
      <c r="J24" s="69"/>
      <c r="K24" s="68"/>
      <c r="L24" s="75"/>
    </row>
    <row r="25" spans="1:12" ht="25.5" x14ac:dyDescent="0.25">
      <c r="A25" s="33" t="s">
        <v>475</v>
      </c>
      <c r="B25" s="10" t="s">
        <v>63</v>
      </c>
      <c r="C25" s="9" t="s">
        <v>20</v>
      </c>
      <c r="D25" s="164">
        <v>26.4</v>
      </c>
      <c r="E25" s="13">
        <v>76.84</v>
      </c>
      <c r="G25" s="95">
        <v>2028.58</v>
      </c>
      <c r="H25" s="69"/>
      <c r="I25" s="146">
        <f t="shared" si="1"/>
        <v>2.7288956795825714E-2</v>
      </c>
      <c r="J25" s="69"/>
      <c r="K25" s="68"/>
      <c r="L25" s="75"/>
    </row>
    <row r="26" spans="1:12" ht="25.5" x14ac:dyDescent="0.25">
      <c r="A26" s="33" t="s">
        <v>476</v>
      </c>
      <c r="B26" s="10" t="s">
        <v>65</v>
      </c>
      <c r="C26" s="9" t="s">
        <v>42</v>
      </c>
      <c r="D26" s="164">
        <v>412.5</v>
      </c>
      <c r="E26" s="13">
        <v>11.15</v>
      </c>
      <c r="G26" s="95">
        <v>4599.38</v>
      </c>
      <c r="H26" s="69"/>
      <c r="I26" s="146">
        <f t="shared" si="1"/>
        <v>6.1871990312230667E-2</v>
      </c>
      <c r="J26" s="69"/>
      <c r="K26" s="68"/>
      <c r="L26" s="75"/>
    </row>
    <row r="27" spans="1:12" ht="25.5" x14ac:dyDescent="0.25">
      <c r="A27" s="33" t="s">
        <v>477</v>
      </c>
      <c r="B27" s="10" t="s">
        <v>67</v>
      </c>
      <c r="C27" s="9" t="s">
        <v>26</v>
      </c>
      <c r="D27" s="164">
        <v>26.4</v>
      </c>
      <c r="E27" s="13">
        <v>734.02</v>
      </c>
      <c r="G27" s="95">
        <v>19378.13</v>
      </c>
      <c r="H27" s="69"/>
      <c r="I27" s="146">
        <f t="shared" si="1"/>
        <v>0.2606793680081112</v>
      </c>
      <c r="J27" s="69"/>
      <c r="K27" s="68"/>
      <c r="L27" s="75"/>
    </row>
    <row r="28" spans="1:12" x14ac:dyDescent="0.25">
      <c r="A28" s="32" t="s">
        <v>68</v>
      </c>
      <c r="B28" s="8" t="s">
        <v>69</v>
      </c>
      <c r="C28" s="9"/>
      <c r="D28" s="164"/>
      <c r="E28" s="13"/>
      <c r="G28" s="109"/>
      <c r="H28" s="143">
        <f>G29</f>
        <v>336.05</v>
      </c>
      <c r="I28" s="145">
        <f>H28/$K$5</f>
        <v>4.520627202889327E-3</v>
      </c>
      <c r="J28" s="69"/>
      <c r="K28" s="68"/>
      <c r="L28" s="75"/>
    </row>
    <row r="29" spans="1:12" x14ac:dyDescent="0.25">
      <c r="A29" s="32" t="s">
        <v>70</v>
      </c>
      <c r="B29" s="8" t="s">
        <v>71</v>
      </c>
      <c r="C29" s="9"/>
      <c r="D29" s="164"/>
      <c r="E29" s="13"/>
      <c r="G29" s="109">
        <f>G30</f>
        <v>336.05</v>
      </c>
      <c r="H29" s="69"/>
      <c r="I29" s="146">
        <f>G29/$K$5</f>
        <v>4.520627202889327E-3</v>
      </c>
      <c r="J29" s="69"/>
      <c r="K29" s="68"/>
      <c r="L29" s="75"/>
    </row>
    <row r="30" spans="1:12" x14ac:dyDescent="0.25">
      <c r="A30" s="33" t="s">
        <v>72</v>
      </c>
      <c r="B30" s="10" t="s">
        <v>73</v>
      </c>
      <c r="C30" s="9" t="s">
        <v>57</v>
      </c>
      <c r="D30" s="164">
        <v>11</v>
      </c>
      <c r="E30" s="13">
        <v>30.55</v>
      </c>
      <c r="G30" s="95">
        <v>336.05</v>
      </c>
      <c r="H30" s="69"/>
      <c r="I30" s="146">
        <f>G30/$K$5</f>
        <v>4.520627202889327E-3</v>
      </c>
      <c r="J30" s="69"/>
      <c r="K30" s="68"/>
      <c r="L30" s="75"/>
    </row>
    <row r="31" spans="1:12" x14ac:dyDescent="0.25">
      <c r="A31" s="33"/>
      <c r="B31" s="10"/>
      <c r="C31" s="9"/>
      <c r="D31" s="164"/>
      <c r="E31" s="13"/>
      <c r="G31" s="95"/>
      <c r="H31" s="69"/>
      <c r="I31" s="152"/>
      <c r="J31" s="69"/>
      <c r="K31" s="68"/>
      <c r="L31" s="75"/>
    </row>
    <row r="32" spans="1:12" x14ac:dyDescent="0.25">
      <c r="A32" s="32">
        <v>2</v>
      </c>
      <c r="B32" s="8" t="s">
        <v>569</v>
      </c>
      <c r="C32" s="9"/>
      <c r="D32" s="164"/>
      <c r="E32" s="13"/>
      <c r="G32" s="109"/>
      <c r="H32" s="69"/>
      <c r="I32" s="152"/>
      <c r="J32" s="69"/>
      <c r="K32" s="68">
        <f>SUM(H32:H50)</f>
        <v>767384.04</v>
      </c>
      <c r="L32" s="76">
        <f>K32/$G$88</f>
        <v>0.40954924103495216</v>
      </c>
    </row>
    <row r="33" spans="1:12" x14ac:dyDescent="0.25">
      <c r="A33" s="32" t="s">
        <v>79</v>
      </c>
      <c r="B33" s="8" t="s">
        <v>15</v>
      </c>
      <c r="C33" s="9"/>
      <c r="D33" s="164"/>
      <c r="E33" s="13"/>
      <c r="G33" s="109"/>
      <c r="H33" s="143">
        <f>G34</f>
        <v>73931.22</v>
      </c>
      <c r="I33" s="145">
        <f>H33/$K$32</f>
        <v>9.6341878572298686E-2</v>
      </c>
      <c r="J33" s="69"/>
      <c r="K33" s="68"/>
      <c r="L33" s="75"/>
    </row>
    <row r="34" spans="1:12" x14ac:dyDescent="0.25">
      <c r="A34" s="32" t="s">
        <v>80</v>
      </c>
      <c r="B34" s="8" t="s">
        <v>17</v>
      </c>
      <c r="C34" s="9"/>
      <c r="D34" s="164"/>
      <c r="E34" s="13"/>
      <c r="G34" s="109">
        <f>SUM(G35:G38)</f>
        <v>73931.22</v>
      </c>
      <c r="H34" s="69"/>
      <c r="I34" s="146">
        <f>G34/$K$32</f>
        <v>9.6341878572298686E-2</v>
      </c>
      <c r="J34" s="69"/>
      <c r="K34" s="68"/>
      <c r="L34" s="75"/>
    </row>
    <row r="35" spans="1:12" x14ac:dyDescent="0.25">
      <c r="A35" s="33" t="s">
        <v>81</v>
      </c>
      <c r="B35" s="10" t="s">
        <v>19</v>
      </c>
      <c r="C35" s="9" t="s">
        <v>20</v>
      </c>
      <c r="D35" s="164">
        <v>2695</v>
      </c>
      <c r="E35" s="13">
        <v>4.38</v>
      </c>
      <c r="G35" s="95">
        <v>11804.1</v>
      </c>
      <c r="H35" s="69"/>
      <c r="I35" s="146">
        <f t="shared" ref="I35:I38" si="2">G35/$K$32</f>
        <v>1.5382258927355331E-2</v>
      </c>
      <c r="J35" s="69"/>
      <c r="K35" s="68"/>
      <c r="L35" s="75"/>
    </row>
    <row r="36" spans="1:12" x14ac:dyDescent="0.25">
      <c r="A36" s="33" t="s">
        <v>82</v>
      </c>
      <c r="B36" s="10" t="s">
        <v>22</v>
      </c>
      <c r="C36" s="9" t="s">
        <v>23</v>
      </c>
      <c r="D36" s="164">
        <v>67.349999999999994</v>
      </c>
      <c r="E36" s="13">
        <v>217.25</v>
      </c>
      <c r="G36" s="95">
        <v>14631.79</v>
      </c>
      <c r="H36" s="69"/>
      <c r="I36" s="146">
        <f t="shared" si="2"/>
        <v>1.9067102307731083E-2</v>
      </c>
      <c r="J36" s="69"/>
      <c r="K36" s="68"/>
      <c r="L36" s="75"/>
    </row>
    <row r="37" spans="1:12" x14ac:dyDescent="0.25">
      <c r="A37" s="33" t="s">
        <v>83</v>
      </c>
      <c r="B37" s="10" t="s">
        <v>25</v>
      </c>
      <c r="C37" s="9" t="s">
        <v>26</v>
      </c>
      <c r="D37" s="164">
        <v>808.5</v>
      </c>
      <c r="E37" s="13">
        <v>17.54</v>
      </c>
      <c r="G37" s="95">
        <v>14181.09</v>
      </c>
      <c r="H37" s="69"/>
      <c r="I37" s="146">
        <f t="shared" si="2"/>
        <v>1.8479782300398116E-2</v>
      </c>
      <c r="J37" s="69"/>
      <c r="K37" s="68"/>
      <c r="L37" s="75"/>
    </row>
    <row r="38" spans="1:12" ht="25.5" x14ac:dyDescent="0.25">
      <c r="A38" s="33" t="s">
        <v>84</v>
      </c>
      <c r="B38" s="10" t="s">
        <v>28</v>
      </c>
      <c r="C38" s="9" t="s">
        <v>29</v>
      </c>
      <c r="D38" s="164">
        <v>16250.85</v>
      </c>
      <c r="E38" s="13">
        <v>2.0499999999999998</v>
      </c>
      <c r="G38" s="95">
        <v>33314.239999999998</v>
      </c>
      <c r="H38" s="69"/>
      <c r="I38" s="146">
        <f t="shared" si="2"/>
        <v>4.3412735036814157E-2</v>
      </c>
      <c r="J38" s="69"/>
      <c r="K38" s="68"/>
      <c r="L38" s="75"/>
    </row>
    <row r="39" spans="1:12" x14ac:dyDescent="0.25">
      <c r="A39" s="32" t="s">
        <v>85</v>
      </c>
      <c r="B39" s="8" t="s">
        <v>31</v>
      </c>
      <c r="C39" s="9"/>
      <c r="D39" s="164"/>
      <c r="E39" s="13"/>
      <c r="G39" s="109"/>
      <c r="H39" s="143">
        <f>G40+G42</f>
        <v>680916.32000000007</v>
      </c>
      <c r="I39" s="145">
        <f>H39/$K$32</f>
        <v>0.88732145119932393</v>
      </c>
      <c r="J39" s="69"/>
      <c r="K39" s="68"/>
      <c r="L39" s="75"/>
    </row>
    <row r="40" spans="1:12" x14ac:dyDescent="0.25">
      <c r="A40" s="32" t="s">
        <v>86</v>
      </c>
      <c r="B40" s="8" t="s">
        <v>33</v>
      </c>
      <c r="C40" s="9"/>
      <c r="D40" s="164"/>
      <c r="E40" s="13"/>
      <c r="G40" s="109">
        <f>G41</f>
        <v>343397.6</v>
      </c>
      <c r="H40" s="69"/>
      <c r="I40" s="146">
        <f>G40/$K$32</f>
        <v>0.44749119358802403</v>
      </c>
      <c r="J40" s="69"/>
      <c r="K40" s="68"/>
      <c r="L40" s="75"/>
    </row>
    <row r="41" spans="1:12" ht="38.25" x14ac:dyDescent="0.25">
      <c r="A41" s="33" t="s">
        <v>87</v>
      </c>
      <c r="B41" s="10" t="s">
        <v>35</v>
      </c>
      <c r="C41" s="9" t="s">
        <v>20</v>
      </c>
      <c r="D41" s="164">
        <v>455</v>
      </c>
      <c r="E41" s="13">
        <v>754.72</v>
      </c>
      <c r="G41" s="95">
        <v>343397.6</v>
      </c>
      <c r="H41" s="69"/>
      <c r="I41" s="146">
        <f t="shared" ref="I41:I45" si="3">G41/$K$32</f>
        <v>0.44749119358802403</v>
      </c>
      <c r="J41" s="69"/>
      <c r="K41" s="68"/>
      <c r="L41" s="75"/>
    </row>
    <row r="42" spans="1:12" x14ac:dyDescent="0.25">
      <c r="A42" s="32" t="s">
        <v>88</v>
      </c>
      <c r="B42" s="8" t="s">
        <v>119</v>
      </c>
      <c r="C42" s="9"/>
      <c r="D42" s="164"/>
      <c r="E42" s="13"/>
      <c r="G42" s="109">
        <f>SUM(G43:G45)</f>
        <v>337518.72000000003</v>
      </c>
      <c r="H42" s="69"/>
      <c r="I42" s="146">
        <f t="shared" si="3"/>
        <v>0.43983025761129985</v>
      </c>
      <c r="J42" s="69"/>
      <c r="K42" s="68"/>
      <c r="L42" s="75"/>
    </row>
    <row r="43" spans="1:12" x14ac:dyDescent="0.25">
      <c r="A43" s="33" t="s">
        <v>89</v>
      </c>
      <c r="B43" s="10" t="s">
        <v>121</v>
      </c>
      <c r="C43" s="9" t="s">
        <v>26</v>
      </c>
      <c r="D43" s="164">
        <v>4032</v>
      </c>
      <c r="E43" s="13">
        <v>78.849999999999994</v>
      </c>
      <c r="G43" s="95">
        <v>317923.20000000001</v>
      </c>
      <c r="H43" s="69"/>
      <c r="I43" s="146">
        <f t="shared" si="3"/>
        <v>0.41429477735815301</v>
      </c>
      <c r="J43" s="69"/>
      <c r="K43" s="68"/>
      <c r="L43" s="75"/>
    </row>
    <row r="44" spans="1:12" x14ac:dyDescent="0.25">
      <c r="A44" s="33" t="s">
        <v>90</v>
      </c>
      <c r="B44" s="10" t="s">
        <v>123</v>
      </c>
      <c r="C44" s="9" t="s">
        <v>26</v>
      </c>
      <c r="D44" s="164">
        <v>672</v>
      </c>
      <c r="E44" s="13">
        <v>10.49</v>
      </c>
      <c r="G44" s="95">
        <v>7049.28</v>
      </c>
      <c r="H44" s="69"/>
      <c r="I44" s="146">
        <f t="shared" si="3"/>
        <v>9.1861175533439546E-3</v>
      </c>
      <c r="J44" s="69"/>
      <c r="K44" s="68"/>
      <c r="L44" s="75"/>
    </row>
    <row r="45" spans="1:12" x14ac:dyDescent="0.25">
      <c r="A45" s="33" t="s">
        <v>91</v>
      </c>
      <c r="B45" s="10" t="s">
        <v>125</v>
      </c>
      <c r="C45" s="9" t="s">
        <v>26</v>
      </c>
      <c r="D45" s="164">
        <v>672</v>
      </c>
      <c r="E45" s="13">
        <v>18.670000000000002</v>
      </c>
      <c r="G45" s="95">
        <v>12546.24</v>
      </c>
      <c r="H45" s="69"/>
      <c r="I45" s="146">
        <f t="shared" si="3"/>
        <v>1.6349362699802826E-2</v>
      </c>
      <c r="J45" s="69"/>
      <c r="K45" s="68"/>
      <c r="L45" s="75"/>
    </row>
    <row r="46" spans="1:12" x14ac:dyDescent="0.25">
      <c r="A46" s="32" t="s">
        <v>103</v>
      </c>
      <c r="B46" s="8" t="s">
        <v>69</v>
      </c>
      <c r="C46" s="9"/>
      <c r="D46" s="164"/>
      <c r="E46" s="13"/>
      <c r="G46" s="109"/>
      <c r="H46" s="143">
        <f>G47+G49</f>
        <v>12536.5</v>
      </c>
      <c r="I46" s="145">
        <f>H46/$K$32</f>
        <v>1.6336670228377436E-2</v>
      </c>
      <c r="J46" s="69"/>
      <c r="K46" s="68"/>
      <c r="L46" s="75"/>
    </row>
    <row r="47" spans="1:12" x14ac:dyDescent="0.25">
      <c r="A47" s="32" t="s">
        <v>104</v>
      </c>
      <c r="B47" s="8" t="s">
        <v>71</v>
      </c>
      <c r="C47" s="9"/>
      <c r="D47" s="164"/>
      <c r="E47" s="13"/>
      <c r="G47" s="109">
        <f>G48</f>
        <v>7576.4</v>
      </c>
      <c r="H47" s="69"/>
      <c r="I47" s="146">
        <f>G47/$K$32</f>
        <v>9.8730226393553867E-3</v>
      </c>
      <c r="J47" s="69"/>
      <c r="K47" s="68"/>
      <c r="L47" s="75"/>
    </row>
    <row r="48" spans="1:12" x14ac:dyDescent="0.25">
      <c r="A48" s="33" t="s">
        <v>105</v>
      </c>
      <c r="B48" s="10" t="s">
        <v>73</v>
      </c>
      <c r="C48" s="9" t="s">
        <v>57</v>
      </c>
      <c r="D48" s="164">
        <v>248</v>
      </c>
      <c r="E48" s="13">
        <v>30.55</v>
      </c>
      <c r="G48" s="95">
        <v>7576.4</v>
      </c>
      <c r="H48" s="69"/>
      <c r="I48" s="146">
        <f t="shared" ref="I48:I50" si="4">G48/$K$32</f>
        <v>9.8730226393553867E-3</v>
      </c>
      <c r="J48" s="69"/>
      <c r="K48" s="68"/>
      <c r="L48" s="75"/>
    </row>
    <row r="49" spans="1:14" x14ac:dyDescent="0.25">
      <c r="A49" s="32" t="s">
        <v>106</v>
      </c>
      <c r="B49" s="8" t="s">
        <v>75</v>
      </c>
      <c r="C49" s="9"/>
      <c r="D49" s="164"/>
      <c r="E49" s="13"/>
      <c r="G49" s="109">
        <f>G50</f>
        <v>4960.1000000000004</v>
      </c>
      <c r="H49" s="69"/>
      <c r="I49" s="146">
        <f t="shared" si="4"/>
        <v>6.4636475890220493E-3</v>
      </c>
      <c r="J49" s="69"/>
      <c r="K49" s="68"/>
      <c r="L49" s="75"/>
    </row>
    <row r="50" spans="1:14" ht="38.25" x14ac:dyDescent="0.25">
      <c r="A50" s="33" t="s">
        <v>107</v>
      </c>
      <c r="B50" s="10" t="s">
        <v>77</v>
      </c>
      <c r="C50" s="9" t="s">
        <v>26</v>
      </c>
      <c r="D50" s="164">
        <v>2.9</v>
      </c>
      <c r="E50" s="13">
        <v>1710.38</v>
      </c>
      <c r="G50" s="95">
        <v>4960.1000000000004</v>
      </c>
      <c r="H50" s="69"/>
      <c r="I50" s="146">
        <f t="shared" si="4"/>
        <v>6.4636475890220493E-3</v>
      </c>
      <c r="J50" s="69"/>
      <c r="K50" s="68"/>
      <c r="L50" s="75"/>
    </row>
    <row r="51" spans="1:14" x14ac:dyDescent="0.25">
      <c r="A51" s="33"/>
      <c r="B51" s="10"/>
      <c r="C51" s="9"/>
      <c r="D51" s="164"/>
      <c r="E51" s="13"/>
      <c r="G51" s="95"/>
      <c r="H51" s="69"/>
      <c r="I51" s="152"/>
      <c r="J51" s="69"/>
      <c r="K51" s="68"/>
      <c r="L51" s="75"/>
    </row>
    <row r="52" spans="1:14" x14ac:dyDescent="0.25">
      <c r="A52" s="32">
        <v>3</v>
      </c>
      <c r="B52" s="8" t="s">
        <v>570</v>
      </c>
      <c r="C52" s="9"/>
      <c r="D52" s="164"/>
      <c r="E52" s="13"/>
      <c r="G52" s="109"/>
      <c r="H52" s="69"/>
      <c r="I52" s="152"/>
      <c r="J52" s="69"/>
      <c r="K52" s="68">
        <f>SUM(H52:H85)</f>
        <v>1032007.3199263999</v>
      </c>
      <c r="L52" s="76">
        <f>K52/$G$88</f>
        <v>0.55077743683380764</v>
      </c>
      <c r="N52" s="66"/>
    </row>
    <row r="53" spans="1:14" x14ac:dyDescent="0.25">
      <c r="A53" s="32" t="s">
        <v>109</v>
      </c>
      <c r="B53" s="8" t="s">
        <v>75</v>
      </c>
      <c r="C53" s="9"/>
      <c r="D53" s="164"/>
      <c r="E53" s="13"/>
      <c r="G53" s="109"/>
      <c r="H53" s="143">
        <f>G54</f>
        <v>46254.990000000005</v>
      </c>
      <c r="I53" s="145">
        <f>H53/$K$52</f>
        <v>4.4820408835180348E-2</v>
      </c>
      <c r="J53" s="69"/>
      <c r="K53" s="68"/>
      <c r="L53" s="75"/>
    </row>
    <row r="54" spans="1:14" x14ac:dyDescent="0.25">
      <c r="A54" s="32" t="s">
        <v>110</v>
      </c>
      <c r="B54" s="8" t="s">
        <v>17</v>
      </c>
      <c r="C54" s="9"/>
      <c r="D54" s="164"/>
      <c r="E54" s="13"/>
      <c r="G54" s="109">
        <f>SUM(G55:G58)</f>
        <v>46254.990000000005</v>
      </c>
      <c r="H54" s="69"/>
      <c r="I54" s="146">
        <f>G54/$K$52</f>
        <v>4.4820408835180348E-2</v>
      </c>
      <c r="J54" s="69"/>
      <c r="K54" s="68"/>
      <c r="L54" s="75"/>
    </row>
    <row r="55" spans="1:14" x14ac:dyDescent="0.25">
      <c r="A55" s="33" t="s">
        <v>111</v>
      </c>
      <c r="B55" s="10" t="s">
        <v>19</v>
      </c>
      <c r="C55" s="9" t="s">
        <v>20</v>
      </c>
      <c r="D55" s="164">
        <v>1686</v>
      </c>
      <c r="E55" s="13">
        <v>4.38</v>
      </c>
      <c r="G55" s="95">
        <v>7384.68</v>
      </c>
      <c r="H55" s="69"/>
      <c r="I55" s="146">
        <f t="shared" ref="I55:I58" si="5">G55/$K$52</f>
        <v>7.1556469197589191E-3</v>
      </c>
      <c r="J55" s="69"/>
      <c r="K55" s="68"/>
      <c r="L55" s="75"/>
    </row>
    <row r="56" spans="1:14" x14ac:dyDescent="0.25">
      <c r="A56" s="33" t="s">
        <v>112</v>
      </c>
      <c r="B56" s="10" t="s">
        <v>22</v>
      </c>
      <c r="C56" s="9" t="s">
        <v>23</v>
      </c>
      <c r="D56" s="164">
        <v>42.15</v>
      </c>
      <c r="E56" s="13">
        <v>217.25</v>
      </c>
      <c r="G56" s="95">
        <v>9157.09</v>
      </c>
      <c r="H56" s="69"/>
      <c r="I56" s="146">
        <f t="shared" si="5"/>
        <v>8.8730862884316176E-3</v>
      </c>
      <c r="J56" s="69"/>
      <c r="K56" s="68"/>
      <c r="L56" s="75"/>
    </row>
    <row r="57" spans="1:14" x14ac:dyDescent="0.25">
      <c r="A57" s="33" t="s">
        <v>113</v>
      </c>
      <c r="B57" s="10" t="s">
        <v>25</v>
      </c>
      <c r="C57" s="9" t="s">
        <v>26</v>
      </c>
      <c r="D57" s="164">
        <v>505.8</v>
      </c>
      <c r="E57" s="13">
        <v>17.54</v>
      </c>
      <c r="G57" s="95">
        <v>8871.73</v>
      </c>
      <c r="H57" s="69"/>
      <c r="I57" s="146">
        <f t="shared" si="5"/>
        <v>8.5965766217944162E-3</v>
      </c>
      <c r="J57" s="69"/>
      <c r="K57" s="68"/>
      <c r="L57" s="75"/>
    </row>
    <row r="58" spans="1:14" ht="25.5" x14ac:dyDescent="0.25">
      <c r="A58" s="33" t="s">
        <v>114</v>
      </c>
      <c r="B58" s="10" t="s">
        <v>28</v>
      </c>
      <c r="C58" s="9" t="s">
        <v>29</v>
      </c>
      <c r="D58" s="164">
        <v>10166.58</v>
      </c>
      <c r="E58" s="13">
        <v>2.0499999999999998</v>
      </c>
      <c r="G58" s="95">
        <v>20841.490000000002</v>
      </c>
      <c r="H58" s="69"/>
      <c r="I58" s="146">
        <f t="shared" si="5"/>
        <v>2.0195099005195394E-2</v>
      </c>
      <c r="J58" s="69"/>
      <c r="K58" s="68"/>
      <c r="L58" s="75"/>
    </row>
    <row r="59" spans="1:14" x14ac:dyDescent="0.25">
      <c r="A59" s="32" t="s">
        <v>115</v>
      </c>
      <c r="B59" s="8" t="s">
        <v>31</v>
      </c>
      <c r="C59" s="9"/>
      <c r="D59" s="164"/>
      <c r="E59" s="13"/>
      <c r="G59" s="109"/>
      <c r="H59" s="143">
        <f>G60+G62+G77</f>
        <v>972952.71992639988</v>
      </c>
      <c r="I59" s="145">
        <f>H59/$K$52</f>
        <v>0.94277695626789582</v>
      </c>
      <c r="J59" s="69"/>
      <c r="K59" s="68"/>
      <c r="L59" s="75"/>
    </row>
    <row r="60" spans="1:14" x14ac:dyDescent="0.25">
      <c r="A60" s="32" t="s">
        <v>116</v>
      </c>
      <c r="B60" s="8" t="s">
        <v>33</v>
      </c>
      <c r="C60" s="9"/>
      <c r="D60" s="164"/>
      <c r="E60" s="13"/>
      <c r="G60" s="109">
        <f>G61</f>
        <v>727720.35992640001</v>
      </c>
      <c r="H60" s="69"/>
      <c r="I60" s="146">
        <f>G60/$K$52</f>
        <v>0.70515038592778512</v>
      </c>
      <c r="J60" s="69"/>
      <c r="K60" s="68"/>
      <c r="L60" s="75"/>
    </row>
    <row r="61" spans="1:14" ht="38.25" x14ac:dyDescent="0.25">
      <c r="A61" s="33" t="s">
        <v>117</v>
      </c>
      <c r="B61" s="10" t="s">
        <v>35</v>
      </c>
      <c r="C61" s="9" t="s">
        <v>20</v>
      </c>
      <c r="D61" s="164">
        <v>964.22562000000005</v>
      </c>
      <c r="E61" s="13">
        <v>754.72</v>
      </c>
      <c r="G61" s="95">
        <f>D61*E61</f>
        <v>727720.35992640001</v>
      </c>
      <c r="H61" s="69"/>
      <c r="I61" s="146">
        <f t="shared" ref="I61:I80" si="6">G61/$K$52</f>
        <v>0.70515038592778512</v>
      </c>
      <c r="J61" s="69"/>
      <c r="K61" s="68"/>
      <c r="L61" s="75"/>
    </row>
    <row r="62" spans="1:14" x14ac:dyDescent="0.25">
      <c r="A62" s="32" t="s">
        <v>118</v>
      </c>
      <c r="B62" s="8" t="s">
        <v>37</v>
      </c>
      <c r="C62" s="9"/>
      <c r="D62" s="164"/>
      <c r="E62" s="13"/>
      <c r="G62" s="109">
        <f>SUM(G63:G76)</f>
        <v>166126.40999999997</v>
      </c>
      <c r="H62" s="69"/>
      <c r="I62" s="146">
        <f t="shared" si="6"/>
        <v>0.16097406170708914</v>
      </c>
      <c r="J62" s="69"/>
      <c r="K62" s="68"/>
      <c r="L62" s="75"/>
    </row>
    <row r="63" spans="1:14" ht="25.5" x14ac:dyDescent="0.25">
      <c r="A63" s="33" t="s">
        <v>120</v>
      </c>
      <c r="B63" s="10" t="s">
        <v>39</v>
      </c>
      <c r="C63" s="9" t="s">
        <v>26</v>
      </c>
      <c r="D63" s="164">
        <v>30</v>
      </c>
      <c r="E63" s="13">
        <v>641.26</v>
      </c>
      <c r="G63" s="95">
        <v>19237.8</v>
      </c>
      <c r="H63" s="69"/>
      <c r="I63" s="146">
        <f t="shared" si="6"/>
        <v>1.8641146849008774E-2</v>
      </c>
      <c r="J63" s="69"/>
      <c r="K63" s="68"/>
      <c r="L63" s="75"/>
    </row>
    <row r="64" spans="1:14" x14ac:dyDescent="0.25">
      <c r="A64" s="33" t="s">
        <v>122</v>
      </c>
      <c r="B64" s="10" t="s">
        <v>41</v>
      </c>
      <c r="C64" s="9" t="s">
        <v>42</v>
      </c>
      <c r="D64" s="164">
        <v>750</v>
      </c>
      <c r="E64" s="13">
        <v>8.64</v>
      </c>
      <c r="G64" s="95">
        <v>6480</v>
      </c>
      <c r="H64" s="69"/>
      <c r="I64" s="146">
        <f t="shared" si="6"/>
        <v>6.2790252306176835E-3</v>
      </c>
      <c r="J64" s="69"/>
      <c r="K64" s="68"/>
      <c r="L64" s="75"/>
    </row>
    <row r="65" spans="1:12" x14ac:dyDescent="0.25">
      <c r="A65" s="33" t="s">
        <v>124</v>
      </c>
      <c r="B65" s="10" t="s">
        <v>44</v>
      </c>
      <c r="C65" s="9" t="s">
        <v>42</v>
      </c>
      <c r="D65" s="164">
        <v>1350</v>
      </c>
      <c r="E65" s="13">
        <v>9.66</v>
      </c>
      <c r="G65" s="95">
        <v>13041</v>
      </c>
      <c r="H65" s="69"/>
      <c r="I65" s="146">
        <f t="shared" si="6"/>
        <v>1.2636538276618087E-2</v>
      </c>
      <c r="J65" s="69"/>
      <c r="K65" s="68"/>
      <c r="L65" s="75"/>
    </row>
    <row r="66" spans="1:12" x14ac:dyDescent="0.25">
      <c r="A66" s="33" t="s">
        <v>298</v>
      </c>
      <c r="B66" s="10" t="s">
        <v>46</v>
      </c>
      <c r="C66" s="9" t="s">
        <v>42</v>
      </c>
      <c r="D66" s="164">
        <v>1350</v>
      </c>
      <c r="E66" s="13">
        <v>8.84</v>
      </c>
      <c r="G66" s="95">
        <v>11934</v>
      </c>
      <c r="H66" s="69"/>
      <c r="I66" s="146">
        <f t="shared" si="6"/>
        <v>1.1563871466387567E-2</v>
      </c>
      <c r="J66" s="69"/>
      <c r="K66" s="68"/>
      <c r="L66" s="75"/>
    </row>
    <row r="67" spans="1:12" x14ac:dyDescent="0.25">
      <c r="A67" s="33" t="s">
        <v>299</v>
      </c>
      <c r="B67" s="10" t="s">
        <v>48</v>
      </c>
      <c r="C67" s="9" t="s">
        <v>26</v>
      </c>
      <c r="D67" s="164">
        <v>60</v>
      </c>
      <c r="E67" s="13">
        <v>25.13</v>
      </c>
      <c r="G67" s="95">
        <v>1507.8</v>
      </c>
      <c r="H67" s="69"/>
      <c r="I67" s="146">
        <f t="shared" si="6"/>
        <v>1.4610361485687257E-3</v>
      </c>
      <c r="J67" s="69"/>
      <c r="K67" s="68"/>
      <c r="L67" s="75"/>
    </row>
    <row r="68" spans="1:12" x14ac:dyDescent="0.25">
      <c r="A68" s="33" t="s">
        <v>300</v>
      </c>
      <c r="B68" s="10" t="s">
        <v>50</v>
      </c>
      <c r="C68" s="9" t="s">
        <v>26</v>
      </c>
      <c r="D68" s="164">
        <v>1.5</v>
      </c>
      <c r="E68" s="13">
        <v>900.01</v>
      </c>
      <c r="G68" s="95">
        <v>1350.02</v>
      </c>
      <c r="H68" s="69"/>
      <c r="I68" s="146">
        <f t="shared" si="6"/>
        <v>1.3081496360861859E-3</v>
      </c>
      <c r="J68" s="69"/>
      <c r="K68" s="68"/>
      <c r="L68" s="75"/>
    </row>
    <row r="69" spans="1:12" x14ac:dyDescent="0.25">
      <c r="A69" s="33" t="s">
        <v>301</v>
      </c>
      <c r="B69" s="10" t="s">
        <v>52</v>
      </c>
      <c r="C69" s="9" t="s">
        <v>26</v>
      </c>
      <c r="D69" s="164">
        <v>1.5</v>
      </c>
      <c r="E69" s="13">
        <v>1002.12</v>
      </c>
      <c r="G69" s="95">
        <v>1503.18</v>
      </c>
      <c r="H69" s="69"/>
      <c r="I69" s="146">
        <f t="shared" si="6"/>
        <v>1.4565594361357853E-3</v>
      </c>
      <c r="J69" s="69"/>
      <c r="K69" s="68"/>
      <c r="L69" s="75"/>
    </row>
    <row r="70" spans="1:12" x14ac:dyDescent="0.25">
      <c r="A70" s="33" t="s">
        <v>302</v>
      </c>
      <c r="B70" s="10" t="s">
        <v>54</v>
      </c>
      <c r="C70" s="9" t="s">
        <v>26</v>
      </c>
      <c r="D70" s="164">
        <v>37.5</v>
      </c>
      <c r="E70" s="13">
        <v>1037.21</v>
      </c>
      <c r="G70" s="95">
        <v>38895.379999999997</v>
      </c>
      <c r="H70" s="69"/>
      <c r="I70" s="146">
        <f t="shared" si="6"/>
        <v>3.768905437877506E-2</v>
      </c>
      <c r="J70" s="69"/>
      <c r="K70" s="68"/>
      <c r="L70" s="75"/>
    </row>
    <row r="71" spans="1:12" x14ac:dyDescent="0.25">
      <c r="A71" s="33" t="s">
        <v>303</v>
      </c>
      <c r="B71" s="10" t="s">
        <v>56</v>
      </c>
      <c r="C71" s="9" t="s">
        <v>57</v>
      </c>
      <c r="D71" s="164">
        <v>37.5</v>
      </c>
      <c r="E71" s="13">
        <v>45.3</v>
      </c>
      <c r="G71" s="95">
        <v>1698.75</v>
      </c>
      <c r="H71" s="69"/>
      <c r="I71" s="146">
        <f t="shared" si="6"/>
        <v>1.6460639059431774E-3</v>
      </c>
      <c r="J71" s="69"/>
      <c r="K71" s="68"/>
      <c r="L71" s="75"/>
    </row>
    <row r="72" spans="1:12" ht="25.5" x14ac:dyDescent="0.25">
      <c r="A72" s="33" t="s">
        <v>304</v>
      </c>
      <c r="B72" s="10" t="s">
        <v>59</v>
      </c>
      <c r="C72" s="9" t="s">
        <v>20</v>
      </c>
      <c r="D72" s="164">
        <v>75</v>
      </c>
      <c r="E72" s="13">
        <v>106.17</v>
      </c>
      <c r="G72" s="95">
        <v>7962.75</v>
      </c>
      <c r="H72" s="69"/>
      <c r="I72" s="146">
        <f t="shared" si="6"/>
        <v>7.7157882955402714E-3</v>
      </c>
      <c r="J72" s="69"/>
      <c r="K72" s="68"/>
      <c r="L72" s="75"/>
    </row>
    <row r="73" spans="1:12" ht="25.5" x14ac:dyDescent="0.25">
      <c r="A73" s="33" t="s">
        <v>305</v>
      </c>
      <c r="B73" s="10" t="s">
        <v>61</v>
      </c>
      <c r="C73" s="9" t="s">
        <v>26</v>
      </c>
      <c r="D73" s="164">
        <v>60</v>
      </c>
      <c r="E73" s="13">
        <v>56.85</v>
      </c>
      <c r="G73" s="95">
        <v>3411</v>
      </c>
      <c r="H73" s="69"/>
      <c r="I73" s="146">
        <f t="shared" si="6"/>
        <v>3.3052091144501416E-3</v>
      </c>
      <c r="J73" s="69"/>
      <c r="K73" s="68"/>
      <c r="L73" s="75"/>
    </row>
    <row r="74" spans="1:12" ht="25.5" x14ac:dyDescent="0.25">
      <c r="A74" s="33" t="s">
        <v>306</v>
      </c>
      <c r="B74" s="10" t="s">
        <v>63</v>
      </c>
      <c r="C74" s="9" t="s">
        <v>20</v>
      </c>
      <c r="D74" s="164">
        <v>60</v>
      </c>
      <c r="E74" s="13">
        <v>76.84</v>
      </c>
      <c r="G74" s="95">
        <v>4610.3999999999996</v>
      </c>
      <c r="H74" s="69"/>
      <c r="I74" s="146">
        <f t="shared" si="6"/>
        <v>4.4674101733394702E-3</v>
      </c>
      <c r="J74" s="69"/>
      <c r="K74" s="68"/>
      <c r="L74" s="75"/>
    </row>
    <row r="75" spans="1:12" ht="25.5" x14ac:dyDescent="0.25">
      <c r="A75" s="33" t="s">
        <v>307</v>
      </c>
      <c r="B75" s="10" t="s">
        <v>65</v>
      </c>
      <c r="C75" s="9" t="s">
        <v>42</v>
      </c>
      <c r="D75" s="164">
        <v>937.5</v>
      </c>
      <c r="E75" s="13">
        <v>11.15</v>
      </c>
      <c r="G75" s="95">
        <v>10453.129999999999</v>
      </c>
      <c r="H75" s="69"/>
      <c r="I75" s="146">
        <f t="shared" si="6"/>
        <v>1.0128930093970158E-2</v>
      </c>
      <c r="J75" s="69"/>
      <c r="K75" s="68"/>
      <c r="L75" s="75"/>
    </row>
    <row r="76" spans="1:12" ht="25.5" x14ac:dyDescent="0.25">
      <c r="A76" s="33" t="s">
        <v>308</v>
      </c>
      <c r="B76" s="10" t="s">
        <v>67</v>
      </c>
      <c r="C76" s="9" t="s">
        <v>26</v>
      </c>
      <c r="D76" s="164">
        <v>60</v>
      </c>
      <c r="E76" s="13">
        <v>734.02</v>
      </c>
      <c r="G76" s="95">
        <v>44041.2</v>
      </c>
      <c r="H76" s="69"/>
      <c r="I76" s="146">
        <f t="shared" si="6"/>
        <v>4.267527870164807E-2</v>
      </c>
      <c r="J76" s="69"/>
      <c r="K76" s="68"/>
      <c r="L76" s="75"/>
    </row>
    <row r="77" spans="1:12" x14ac:dyDescent="0.25">
      <c r="A77" s="32" t="s">
        <v>309</v>
      </c>
      <c r="B77" s="8" t="s">
        <v>119</v>
      </c>
      <c r="C77" s="9"/>
      <c r="D77" s="164"/>
      <c r="E77" s="13"/>
      <c r="G77" s="109">
        <f>SUM(G78:G80)</f>
        <v>79105.95</v>
      </c>
      <c r="H77" s="69"/>
      <c r="I77" s="146">
        <f t="shared" si="6"/>
        <v>7.665250863302174E-2</v>
      </c>
      <c r="J77" s="69"/>
      <c r="K77" s="68"/>
      <c r="L77" s="75"/>
    </row>
    <row r="78" spans="1:12" x14ac:dyDescent="0.25">
      <c r="A78" s="33" t="s">
        <v>310</v>
      </c>
      <c r="B78" s="10" t="s">
        <v>121</v>
      </c>
      <c r="C78" s="9" t="s">
        <v>26</v>
      </c>
      <c r="D78" s="164">
        <v>945</v>
      </c>
      <c r="E78" s="13">
        <v>78.849999999999994</v>
      </c>
      <c r="G78" s="95">
        <v>74513.25</v>
      </c>
      <c r="H78" s="69"/>
      <c r="I78" s="146">
        <f t="shared" si="6"/>
        <v>7.2202249500821464E-2</v>
      </c>
      <c r="J78" s="69"/>
      <c r="K78" s="68"/>
      <c r="L78" s="75"/>
    </row>
    <row r="79" spans="1:12" x14ac:dyDescent="0.25">
      <c r="A79" s="33" t="s">
        <v>316</v>
      </c>
      <c r="B79" s="10" t="s">
        <v>123</v>
      </c>
      <c r="C79" s="9" t="s">
        <v>26</v>
      </c>
      <c r="D79" s="164">
        <v>157.5</v>
      </c>
      <c r="E79" s="13">
        <v>10.49</v>
      </c>
      <c r="G79" s="95">
        <v>1652.17</v>
      </c>
      <c r="H79" s="69"/>
      <c r="I79" s="146">
        <f t="shared" si="6"/>
        <v>1.6009285671712374E-3</v>
      </c>
      <c r="J79" s="69"/>
      <c r="K79" s="68"/>
      <c r="L79" s="75"/>
    </row>
    <row r="80" spans="1:12" x14ac:dyDescent="0.25">
      <c r="A80" s="33" t="s">
        <v>571</v>
      </c>
      <c r="B80" s="10" t="s">
        <v>125</v>
      </c>
      <c r="C80" s="9" t="s">
        <v>26</v>
      </c>
      <c r="D80" s="164">
        <v>157.5</v>
      </c>
      <c r="E80" s="13">
        <v>18.670000000000002</v>
      </c>
      <c r="G80" s="95">
        <v>2940.53</v>
      </c>
      <c r="H80" s="69"/>
      <c r="I80" s="146">
        <f t="shared" si="6"/>
        <v>2.8493305650290459E-3</v>
      </c>
      <c r="J80" s="69"/>
      <c r="K80" s="68"/>
      <c r="L80" s="75"/>
    </row>
    <row r="81" spans="1:12" x14ac:dyDescent="0.25">
      <c r="A81" s="32" t="s">
        <v>126</v>
      </c>
      <c r="B81" s="8" t="s">
        <v>69</v>
      </c>
      <c r="C81" s="9"/>
      <c r="D81" s="164"/>
      <c r="E81" s="13"/>
      <c r="G81" s="109"/>
      <c r="H81" s="143">
        <f>G82+G84</f>
        <v>12799.61</v>
      </c>
      <c r="I81" s="145">
        <f>H81/$K$52</f>
        <v>1.2402634896923828E-2</v>
      </c>
      <c r="J81" s="69"/>
      <c r="K81" s="68"/>
      <c r="L81" s="75"/>
    </row>
    <row r="82" spans="1:12" x14ac:dyDescent="0.25">
      <c r="A82" s="32" t="s">
        <v>127</v>
      </c>
      <c r="B82" s="8" t="s">
        <v>71</v>
      </c>
      <c r="C82" s="9"/>
      <c r="D82" s="164"/>
      <c r="E82" s="13"/>
      <c r="G82" s="109">
        <f>G83</f>
        <v>9378.85</v>
      </c>
      <c r="H82" s="69"/>
      <c r="I82" s="146">
        <f>G82/$K$52</f>
        <v>9.0879684852127555E-3</v>
      </c>
      <c r="J82" s="69"/>
      <c r="K82" s="68"/>
      <c r="L82" s="75"/>
    </row>
    <row r="83" spans="1:12" x14ac:dyDescent="0.25">
      <c r="A83" s="33" t="s">
        <v>128</v>
      </c>
      <c r="B83" s="10" t="s">
        <v>73</v>
      </c>
      <c r="C83" s="9" t="s">
        <v>57</v>
      </c>
      <c r="D83" s="164">
        <v>307</v>
      </c>
      <c r="E83" s="13">
        <v>30.55</v>
      </c>
      <c r="G83" s="95">
        <v>9378.85</v>
      </c>
      <c r="H83" s="69"/>
      <c r="I83" s="146">
        <f t="shared" ref="I83:I85" si="7">G83/$K$52</f>
        <v>9.0879684852127555E-3</v>
      </c>
      <c r="J83" s="69"/>
      <c r="K83" s="68"/>
      <c r="L83" s="75"/>
    </row>
    <row r="84" spans="1:12" x14ac:dyDescent="0.25">
      <c r="A84" s="32" t="s">
        <v>129</v>
      </c>
      <c r="B84" s="8" t="s">
        <v>75</v>
      </c>
      <c r="C84" s="9"/>
      <c r="D84" s="164"/>
      <c r="E84" s="13"/>
      <c r="G84" s="109">
        <f>G85</f>
        <v>3420.76</v>
      </c>
      <c r="H84" s="69"/>
      <c r="I84" s="146">
        <f t="shared" si="7"/>
        <v>3.3146664117110723E-3</v>
      </c>
      <c r="J84" s="69"/>
      <c r="K84" s="68"/>
      <c r="L84" s="75"/>
    </row>
    <row r="85" spans="1:12" ht="38.25" x14ac:dyDescent="0.25">
      <c r="A85" s="33" t="s">
        <v>130</v>
      </c>
      <c r="B85" s="10" t="s">
        <v>77</v>
      </c>
      <c r="C85" s="9" t="s">
        <v>26</v>
      </c>
      <c r="D85" s="164">
        <v>2</v>
      </c>
      <c r="E85" s="13">
        <v>1710.38</v>
      </c>
      <c r="G85" s="95">
        <v>3420.76</v>
      </c>
      <c r="H85" s="69"/>
      <c r="I85" s="146">
        <f t="shared" si="7"/>
        <v>3.3146664117110723E-3</v>
      </c>
      <c r="J85" s="69"/>
      <c r="K85" s="68"/>
      <c r="L85" s="75"/>
    </row>
    <row r="86" spans="1:12" ht="13.5" thickBot="1" x14ac:dyDescent="0.3">
      <c r="A86" s="84"/>
      <c r="B86" s="85" t="s">
        <v>269</v>
      </c>
      <c r="C86" s="36"/>
      <c r="D86" s="168"/>
      <c r="E86" s="37"/>
      <c r="F86" s="157"/>
      <c r="G86" s="186"/>
      <c r="H86" s="203"/>
      <c r="I86" s="196"/>
      <c r="J86" s="203"/>
      <c r="K86" s="78"/>
      <c r="L86" s="79"/>
    </row>
    <row r="88" spans="1:12" s="7" customFormat="1" ht="15" x14ac:dyDescent="0.25">
      <c r="A88" s="11"/>
      <c r="B88" s="98" t="s">
        <v>271</v>
      </c>
      <c r="C88" s="9"/>
      <c r="D88" s="99"/>
      <c r="E88" s="95"/>
      <c r="G88" s="277">
        <f>SUM(K5:K86)</f>
        <v>1873728.3899264</v>
      </c>
      <c r="H88" s="277"/>
      <c r="I88" s="277"/>
      <c r="J88" s="277"/>
      <c r="K88" s="277"/>
      <c r="L88" s="163">
        <v>1</v>
      </c>
    </row>
    <row r="89" spans="1:12" s="7" customFormat="1" ht="15" x14ac:dyDescent="0.25">
      <c r="A89" s="18"/>
      <c r="B89" s="98" t="s">
        <v>272</v>
      </c>
      <c r="C89" s="18"/>
      <c r="D89" s="144"/>
      <c r="E89" s="132"/>
      <c r="G89" s="277">
        <v>0</v>
      </c>
      <c r="H89" s="277"/>
      <c r="I89" s="277"/>
      <c r="J89" s="277"/>
      <c r="K89" s="277"/>
      <c r="L89" s="163">
        <v>1</v>
      </c>
    </row>
    <row r="90" spans="1:12" s="7" customFormat="1" ht="15" x14ac:dyDescent="0.25">
      <c r="A90" s="18"/>
      <c r="B90" s="98" t="s">
        <v>270</v>
      </c>
      <c r="C90" s="18"/>
      <c r="D90" s="144"/>
      <c r="E90" s="132"/>
      <c r="G90" s="277">
        <f>G88+G89</f>
        <v>1873728.3899264</v>
      </c>
      <c r="H90" s="277"/>
      <c r="I90" s="277"/>
      <c r="J90" s="277"/>
      <c r="K90" s="277"/>
      <c r="L90" s="126"/>
    </row>
  </sheetData>
  <mergeCells count="5">
    <mergeCell ref="G3:L3"/>
    <mergeCell ref="G4:H4"/>
    <mergeCell ref="G88:K88"/>
    <mergeCell ref="G89:K89"/>
    <mergeCell ref="G90:K90"/>
  </mergeCells>
  <pageMargins left="0.511811024" right="0.511811024" top="0.78740157499999996" bottom="0.78740157499999996" header="0.31496062000000002" footer="0.31496062000000002"/>
  <pageSetup paperSize="8" scale="90" fitToHeight="0" orientation="landscape" horizontalDpi="1200" verticalDpi="1200" r:id="rId1"/>
  <ignoredErrors>
    <ignoredError sqref="I12 I28 I39 I46 I59 I8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4CFD8-73AA-4460-AC00-75FDC16BA791}">
  <sheetPr>
    <pageSetUpPr fitToPage="1"/>
  </sheetPr>
  <dimension ref="A1:O135"/>
  <sheetViews>
    <sheetView workbookViewId="0">
      <pane ySplit="4" topLeftCell="A5" activePane="bottomLeft" state="frozen"/>
      <selection pane="bottomLeft" activeCell="A5" sqref="A5"/>
    </sheetView>
  </sheetViews>
  <sheetFormatPr defaultColWidth="9.140625" defaultRowHeight="12.75" x14ac:dyDescent="0.25"/>
  <cols>
    <col min="1" max="1" width="18.7109375" style="63" customWidth="1"/>
    <col min="2" max="2" width="97.140625" style="41" customWidth="1"/>
    <col min="3" max="3" width="6.7109375" style="42" customWidth="1"/>
    <col min="4" max="4" width="19.140625" style="43" customWidth="1"/>
    <col min="5" max="5" width="16.7109375" style="61" customWidth="1"/>
    <col min="6" max="6" width="1.7109375" style="62" customWidth="1"/>
    <col min="7" max="7" width="16.5703125" style="103" bestFit="1" customWidth="1"/>
    <col min="8" max="8" width="15.5703125" style="62" bestFit="1" customWidth="1"/>
    <col min="9" max="9" width="18" style="42" customWidth="1"/>
    <col min="10" max="10" width="0.5703125" style="62" customWidth="1"/>
    <col min="11" max="11" width="22.42578125" style="66" customWidth="1"/>
    <col min="12" max="12" width="15.42578125" style="42" customWidth="1"/>
    <col min="13" max="13" width="9.140625" style="62"/>
    <col min="14" max="14" width="15.5703125" style="62" bestFit="1" customWidth="1"/>
    <col min="15" max="15" width="14.140625" style="62" bestFit="1" customWidth="1"/>
    <col min="16" max="16384" width="9.140625" style="62"/>
  </cols>
  <sheetData>
    <row r="1" spans="1:12" x14ac:dyDescent="0.25">
      <c r="A1" s="59" t="s">
        <v>4</v>
      </c>
    </row>
    <row r="3" spans="1:12" x14ac:dyDescent="0.25">
      <c r="A3" s="59" t="s">
        <v>572</v>
      </c>
      <c r="G3" s="294" t="s">
        <v>11</v>
      </c>
      <c r="H3" s="294"/>
      <c r="I3" s="294"/>
      <c r="J3" s="294"/>
      <c r="K3" s="294"/>
      <c r="L3" s="294"/>
    </row>
    <row r="4" spans="1:12" ht="13.5" thickBot="1" x14ac:dyDescent="0.3">
      <c r="A4" s="46" t="s">
        <v>6</v>
      </c>
      <c r="B4" s="47" t="s">
        <v>7</v>
      </c>
      <c r="C4" s="46" t="s">
        <v>8</v>
      </c>
      <c r="D4" s="48" t="s">
        <v>9</v>
      </c>
      <c r="E4" s="178" t="s">
        <v>10</v>
      </c>
      <c r="G4" s="295" t="s">
        <v>273</v>
      </c>
      <c r="H4" s="296"/>
      <c r="I4" s="104" t="s">
        <v>275</v>
      </c>
      <c r="J4" s="141"/>
      <c r="K4" s="93" t="s">
        <v>274</v>
      </c>
      <c r="L4" s="104" t="s">
        <v>12</v>
      </c>
    </row>
    <row r="5" spans="1:12" x14ac:dyDescent="0.25">
      <c r="A5" s="25">
        <v>1</v>
      </c>
      <c r="B5" s="26" t="s">
        <v>290</v>
      </c>
      <c r="C5" s="27"/>
      <c r="D5" s="28"/>
      <c r="E5" s="29"/>
      <c r="F5" s="72"/>
      <c r="G5" s="105"/>
      <c r="H5" s="204"/>
      <c r="I5" s="193"/>
      <c r="J5" s="204"/>
      <c r="K5" s="73">
        <f>SUM(H5:H19)</f>
        <v>901859.2</v>
      </c>
      <c r="L5" s="160">
        <f>K5/$G$133</f>
        <v>0.22923038929588915</v>
      </c>
    </row>
    <row r="6" spans="1:12" x14ac:dyDescent="0.25">
      <c r="A6" s="32" t="s">
        <v>14</v>
      </c>
      <c r="B6" s="8" t="s">
        <v>15</v>
      </c>
      <c r="C6" s="9"/>
      <c r="D6" s="164"/>
      <c r="E6" s="13"/>
      <c r="F6" s="67"/>
      <c r="G6" s="109"/>
      <c r="H6" s="143">
        <f>G7</f>
        <v>138024.22999999998</v>
      </c>
      <c r="I6" s="145">
        <f>H6/$K$5</f>
        <v>0.15304410045381805</v>
      </c>
      <c r="J6" s="69"/>
      <c r="K6" s="68"/>
      <c r="L6" s="194"/>
    </row>
    <row r="7" spans="1:12" x14ac:dyDescent="0.25">
      <c r="A7" s="32" t="s">
        <v>16</v>
      </c>
      <c r="B7" s="8" t="s">
        <v>17</v>
      </c>
      <c r="C7" s="9"/>
      <c r="D7" s="164"/>
      <c r="E7" s="13"/>
      <c r="F7" s="67"/>
      <c r="G7" s="109">
        <f>SUM(G8:G11)</f>
        <v>138024.22999999998</v>
      </c>
      <c r="H7" s="69"/>
      <c r="I7" s="146">
        <f>G7/$K$5</f>
        <v>0.15304410045381805</v>
      </c>
      <c r="J7" s="69"/>
      <c r="K7" s="68"/>
      <c r="L7" s="194"/>
    </row>
    <row r="8" spans="1:12" x14ac:dyDescent="0.25">
      <c r="A8" s="33" t="s">
        <v>18</v>
      </c>
      <c r="B8" s="10" t="s">
        <v>19</v>
      </c>
      <c r="C8" s="9" t="s">
        <v>20</v>
      </c>
      <c r="D8" s="164">
        <v>5031</v>
      </c>
      <c r="E8" s="13">
        <v>4.38</v>
      </c>
      <c r="F8" s="67"/>
      <c r="G8" s="95">
        <v>22035.78</v>
      </c>
      <c r="H8" s="69"/>
      <c r="I8" s="146">
        <f t="shared" ref="I8:I11" si="0">G8/$K$5</f>
        <v>2.4433725353137165E-2</v>
      </c>
      <c r="J8" s="69"/>
      <c r="K8" s="68"/>
      <c r="L8" s="194"/>
    </row>
    <row r="9" spans="1:12" x14ac:dyDescent="0.25">
      <c r="A9" s="33" t="s">
        <v>21</v>
      </c>
      <c r="B9" s="10" t="s">
        <v>22</v>
      </c>
      <c r="C9" s="9" t="s">
        <v>23</v>
      </c>
      <c r="D9" s="164">
        <v>125.78</v>
      </c>
      <c r="E9" s="13">
        <v>217.25</v>
      </c>
      <c r="F9" s="67"/>
      <c r="G9" s="95">
        <v>27324.62</v>
      </c>
      <c r="H9" s="69"/>
      <c r="I9" s="146">
        <f t="shared" si="0"/>
        <v>3.0298099747721151E-2</v>
      </c>
      <c r="J9" s="69"/>
      <c r="K9" s="68"/>
      <c r="L9" s="194"/>
    </row>
    <row r="10" spans="1:12" x14ac:dyDescent="0.25">
      <c r="A10" s="33" t="s">
        <v>24</v>
      </c>
      <c r="B10" s="10" t="s">
        <v>25</v>
      </c>
      <c r="C10" s="9" t="s">
        <v>26</v>
      </c>
      <c r="D10" s="164">
        <v>1509.3</v>
      </c>
      <c r="E10" s="13">
        <v>17.54</v>
      </c>
      <c r="F10" s="67"/>
      <c r="G10" s="95">
        <v>26473.119999999999</v>
      </c>
      <c r="H10" s="69"/>
      <c r="I10" s="146">
        <f t="shared" si="0"/>
        <v>2.9353939062771662E-2</v>
      </c>
      <c r="J10" s="69"/>
      <c r="K10" s="68"/>
      <c r="L10" s="194"/>
    </row>
    <row r="11" spans="1:12" ht="25.5" x14ac:dyDescent="0.25">
      <c r="A11" s="33" t="s">
        <v>27</v>
      </c>
      <c r="B11" s="10" t="s">
        <v>28</v>
      </c>
      <c r="C11" s="9" t="s">
        <v>29</v>
      </c>
      <c r="D11" s="164">
        <v>30336.93</v>
      </c>
      <c r="E11" s="13">
        <v>2.0499999999999998</v>
      </c>
      <c r="F11" s="67"/>
      <c r="G11" s="95">
        <v>62190.71</v>
      </c>
      <c r="H11" s="69"/>
      <c r="I11" s="146">
        <f t="shared" si="0"/>
        <v>6.8958336290188091E-2</v>
      </c>
      <c r="J11" s="69"/>
      <c r="K11" s="68"/>
      <c r="L11" s="194"/>
    </row>
    <row r="12" spans="1:12" x14ac:dyDescent="0.25">
      <c r="A12" s="32" t="s">
        <v>30</v>
      </c>
      <c r="B12" s="8" t="s">
        <v>31</v>
      </c>
      <c r="C12" s="9"/>
      <c r="D12" s="164"/>
      <c r="E12" s="13"/>
      <c r="F12" s="67"/>
      <c r="G12" s="109"/>
      <c r="H12" s="143">
        <f>G13</f>
        <v>758061.02</v>
      </c>
      <c r="I12" s="145">
        <f t="shared" ref="I12:I17" si="1">H12/$K$5</f>
        <v>0.84055362522220767</v>
      </c>
      <c r="J12" s="69"/>
      <c r="K12" s="68"/>
      <c r="L12" s="194"/>
    </row>
    <row r="13" spans="1:12" x14ac:dyDescent="0.25">
      <c r="A13" s="32" t="s">
        <v>32</v>
      </c>
      <c r="B13" s="8" t="s">
        <v>119</v>
      </c>
      <c r="C13" s="9"/>
      <c r="D13" s="164"/>
      <c r="E13" s="13"/>
      <c r="F13" s="67"/>
      <c r="G13" s="109">
        <v>758061.02</v>
      </c>
      <c r="H13" s="69"/>
      <c r="I13" s="146">
        <f>G13/$K$5</f>
        <v>0.84055362522220767</v>
      </c>
      <c r="J13" s="69"/>
      <c r="K13" s="68"/>
      <c r="L13" s="194"/>
    </row>
    <row r="14" spans="1:12" x14ac:dyDescent="0.25">
      <c r="A14" s="33" t="s">
        <v>34</v>
      </c>
      <c r="B14" s="10" t="s">
        <v>121</v>
      </c>
      <c r="C14" s="9" t="s">
        <v>26</v>
      </c>
      <c r="D14" s="164">
        <v>9055.7999999999993</v>
      </c>
      <c r="E14" s="13">
        <v>78.849999999999994</v>
      </c>
      <c r="F14" s="67"/>
      <c r="G14" s="95">
        <v>714049.83</v>
      </c>
      <c r="H14" s="69"/>
      <c r="I14" s="146">
        <f t="shared" ref="I14:I16" si="2">G14/$K$5</f>
        <v>0.79175311401158854</v>
      </c>
      <c r="J14" s="69"/>
      <c r="K14" s="68"/>
      <c r="L14" s="194"/>
    </row>
    <row r="15" spans="1:12" x14ac:dyDescent="0.25">
      <c r="A15" s="33" t="s">
        <v>465</v>
      </c>
      <c r="B15" s="10" t="s">
        <v>123</v>
      </c>
      <c r="C15" s="9" t="s">
        <v>26</v>
      </c>
      <c r="D15" s="164">
        <v>1509.3</v>
      </c>
      <c r="E15" s="13">
        <v>10.49</v>
      </c>
      <c r="F15" s="67"/>
      <c r="G15" s="95">
        <v>15832.56</v>
      </c>
      <c r="H15" s="69"/>
      <c r="I15" s="146">
        <f t="shared" si="2"/>
        <v>1.7555467638407415E-2</v>
      </c>
      <c r="J15" s="69"/>
      <c r="K15" s="68"/>
      <c r="L15" s="194"/>
    </row>
    <row r="16" spans="1:12" x14ac:dyDescent="0.25">
      <c r="A16" s="33" t="s">
        <v>466</v>
      </c>
      <c r="B16" s="10" t="s">
        <v>125</v>
      </c>
      <c r="C16" s="9" t="s">
        <v>26</v>
      </c>
      <c r="D16" s="164">
        <v>1509.3</v>
      </c>
      <c r="E16" s="13">
        <v>18.670000000000002</v>
      </c>
      <c r="F16" s="67"/>
      <c r="G16" s="95">
        <v>28178.63</v>
      </c>
      <c r="H16" s="69"/>
      <c r="I16" s="146">
        <f t="shared" si="2"/>
        <v>3.1245043572211719E-2</v>
      </c>
      <c r="J16" s="69"/>
      <c r="K16" s="68"/>
      <c r="L16" s="194"/>
    </row>
    <row r="17" spans="1:12" x14ac:dyDescent="0.25">
      <c r="A17" s="32" t="s">
        <v>68</v>
      </c>
      <c r="B17" s="8" t="s">
        <v>69</v>
      </c>
      <c r="C17" s="9"/>
      <c r="D17" s="164"/>
      <c r="E17" s="13"/>
      <c r="F17" s="67"/>
      <c r="G17" s="109"/>
      <c r="H17" s="143">
        <f>G18</f>
        <v>5773.95</v>
      </c>
      <c r="I17" s="145">
        <f t="shared" si="1"/>
        <v>6.4022743239742965E-3</v>
      </c>
      <c r="J17" s="69"/>
      <c r="K17" s="68"/>
      <c r="L17" s="194"/>
    </row>
    <row r="18" spans="1:12" x14ac:dyDescent="0.25">
      <c r="A18" s="32" t="s">
        <v>70</v>
      </c>
      <c r="B18" s="8" t="s">
        <v>71</v>
      </c>
      <c r="C18" s="9"/>
      <c r="D18" s="164"/>
      <c r="E18" s="13"/>
      <c r="F18" s="67"/>
      <c r="G18" s="109">
        <f>G19</f>
        <v>5773.95</v>
      </c>
      <c r="H18" s="69"/>
      <c r="I18" s="146">
        <f>G18/$K$5</f>
        <v>6.4022743239742965E-3</v>
      </c>
      <c r="J18" s="69"/>
      <c r="K18" s="68"/>
      <c r="L18" s="194"/>
    </row>
    <row r="19" spans="1:12" x14ac:dyDescent="0.25">
      <c r="A19" s="33" t="s">
        <v>72</v>
      </c>
      <c r="B19" s="10" t="s">
        <v>73</v>
      </c>
      <c r="C19" s="9" t="s">
        <v>57</v>
      </c>
      <c r="D19" s="164">
        <v>189</v>
      </c>
      <c r="E19" s="13">
        <v>30.55</v>
      </c>
      <c r="F19" s="67"/>
      <c r="G19" s="95">
        <v>5773.95</v>
      </c>
      <c r="H19" s="69"/>
      <c r="I19" s="146">
        <f>G19/$K$5</f>
        <v>6.4022743239742965E-3</v>
      </c>
      <c r="J19" s="69"/>
      <c r="K19" s="68"/>
      <c r="L19" s="194"/>
    </row>
    <row r="20" spans="1:12" x14ac:dyDescent="0.25">
      <c r="A20" s="33"/>
      <c r="B20" s="10"/>
      <c r="C20" s="9"/>
      <c r="D20" s="164"/>
      <c r="E20" s="13"/>
      <c r="F20" s="67"/>
      <c r="G20" s="95"/>
      <c r="H20" s="69"/>
      <c r="I20" s="152"/>
      <c r="J20" s="69"/>
      <c r="K20" s="68"/>
      <c r="L20" s="194"/>
    </row>
    <row r="21" spans="1:12" x14ac:dyDescent="0.25">
      <c r="A21" s="32">
        <v>2</v>
      </c>
      <c r="B21" s="8" t="s">
        <v>573</v>
      </c>
      <c r="C21" s="9"/>
      <c r="D21" s="164"/>
      <c r="E21" s="13"/>
      <c r="F21" s="67"/>
      <c r="G21" s="109"/>
      <c r="H21" s="69"/>
      <c r="I21" s="152"/>
      <c r="J21" s="69"/>
      <c r="K21" s="68">
        <f>SUM(H22:H35)</f>
        <v>116492.07</v>
      </c>
      <c r="L21" s="169">
        <f>K21/$G$133</f>
        <v>2.9609414148000012E-2</v>
      </c>
    </row>
    <row r="22" spans="1:12" x14ac:dyDescent="0.25">
      <c r="A22" s="32" t="s">
        <v>79</v>
      </c>
      <c r="B22" s="8" t="s">
        <v>15</v>
      </c>
      <c r="C22" s="9"/>
      <c r="D22" s="164"/>
      <c r="E22" s="13"/>
      <c r="F22" s="67"/>
      <c r="G22" s="109"/>
      <c r="H22" s="143">
        <f>G23</f>
        <v>17585.670000000002</v>
      </c>
      <c r="I22" s="145">
        <f>H22/$K$21</f>
        <v>0.15096023274373957</v>
      </c>
      <c r="J22" s="69"/>
      <c r="K22" s="68"/>
      <c r="L22" s="194"/>
    </row>
    <row r="23" spans="1:12" x14ac:dyDescent="0.25">
      <c r="A23" s="32" t="s">
        <v>80</v>
      </c>
      <c r="B23" s="8" t="s">
        <v>17</v>
      </c>
      <c r="C23" s="9"/>
      <c r="D23" s="164"/>
      <c r="E23" s="13"/>
      <c r="F23" s="67"/>
      <c r="G23" s="109">
        <f>SUM(G24:G27)</f>
        <v>17585.670000000002</v>
      </c>
      <c r="H23" s="69"/>
      <c r="I23" s="146">
        <f>G23/$K$21</f>
        <v>0.15096023274373957</v>
      </c>
      <c r="J23" s="69"/>
      <c r="K23" s="68"/>
      <c r="L23" s="194"/>
    </row>
    <row r="24" spans="1:12" x14ac:dyDescent="0.25">
      <c r="A24" s="33" t="s">
        <v>81</v>
      </c>
      <c r="B24" s="10" t="s">
        <v>19</v>
      </c>
      <c r="C24" s="9" t="s">
        <v>20</v>
      </c>
      <c r="D24" s="164">
        <v>641</v>
      </c>
      <c r="E24" s="13">
        <v>4.38</v>
      </c>
      <c r="F24" s="67"/>
      <c r="G24" s="95">
        <v>2807.58</v>
      </c>
      <c r="H24" s="69"/>
      <c r="I24" s="146">
        <f t="shared" ref="I24:I27" si="3">G24/$K$21</f>
        <v>2.4101039667335292E-2</v>
      </c>
      <c r="J24" s="69"/>
      <c r="K24" s="68"/>
      <c r="L24" s="194"/>
    </row>
    <row r="25" spans="1:12" x14ac:dyDescent="0.25">
      <c r="A25" s="33" t="s">
        <v>82</v>
      </c>
      <c r="B25" s="10" t="s">
        <v>22</v>
      </c>
      <c r="C25" s="9" t="s">
        <v>23</v>
      </c>
      <c r="D25" s="164">
        <v>16.03</v>
      </c>
      <c r="E25" s="13">
        <v>217.25</v>
      </c>
      <c r="F25" s="67"/>
      <c r="G25" s="95">
        <v>3481.43</v>
      </c>
      <c r="H25" s="69"/>
      <c r="I25" s="146">
        <f t="shared" si="3"/>
        <v>2.9885553583175229E-2</v>
      </c>
      <c r="J25" s="69"/>
      <c r="K25" s="68"/>
      <c r="L25" s="194"/>
    </row>
    <row r="26" spans="1:12" x14ac:dyDescent="0.25">
      <c r="A26" s="33" t="s">
        <v>83</v>
      </c>
      <c r="B26" s="10" t="s">
        <v>25</v>
      </c>
      <c r="C26" s="9" t="s">
        <v>26</v>
      </c>
      <c r="D26" s="164">
        <v>192.3</v>
      </c>
      <c r="E26" s="13">
        <v>17.54</v>
      </c>
      <c r="F26" s="67"/>
      <c r="G26" s="95">
        <v>3372.94</v>
      </c>
      <c r="H26" s="69"/>
      <c r="I26" s="146">
        <f t="shared" si="3"/>
        <v>2.8954245555083705E-2</v>
      </c>
      <c r="J26" s="69"/>
      <c r="K26" s="68"/>
      <c r="L26" s="194"/>
    </row>
    <row r="27" spans="1:12" ht="25.5" x14ac:dyDescent="0.25">
      <c r="A27" s="33" t="s">
        <v>84</v>
      </c>
      <c r="B27" s="10" t="s">
        <v>28</v>
      </c>
      <c r="C27" s="9" t="s">
        <v>29</v>
      </c>
      <c r="D27" s="164">
        <v>3865.23</v>
      </c>
      <c r="E27" s="13">
        <v>2.0499999999999998</v>
      </c>
      <c r="F27" s="67"/>
      <c r="G27" s="95">
        <v>7923.72</v>
      </c>
      <c r="H27" s="69"/>
      <c r="I27" s="146">
        <f t="shared" si="3"/>
        <v>6.8019393938145309E-2</v>
      </c>
      <c r="J27" s="69"/>
      <c r="K27" s="68"/>
      <c r="L27" s="194"/>
    </row>
    <row r="28" spans="1:12" x14ac:dyDescent="0.25">
      <c r="A28" s="32" t="s">
        <v>85</v>
      </c>
      <c r="B28" s="8" t="s">
        <v>31</v>
      </c>
      <c r="C28" s="9"/>
      <c r="D28" s="164"/>
      <c r="E28" s="13"/>
      <c r="F28" s="67"/>
      <c r="G28" s="109"/>
      <c r="H28" s="143">
        <f>G29</f>
        <v>96584.6</v>
      </c>
      <c r="I28" s="145">
        <f t="shared" ref="I28:I33" si="4">H28/$K$21</f>
        <v>0.82910879684771677</v>
      </c>
      <c r="J28" s="69"/>
      <c r="K28" s="68"/>
      <c r="L28" s="194"/>
    </row>
    <row r="29" spans="1:12" x14ac:dyDescent="0.25">
      <c r="A29" s="32" t="s">
        <v>86</v>
      </c>
      <c r="B29" s="8" t="s">
        <v>119</v>
      </c>
      <c r="C29" s="9"/>
      <c r="D29" s="164"/>
      <c r="E29" s="13"/>
      <c r="F29" s="67"/>
      <c r="G29" s="109">
        <f>SUM(G30:G32)</f>
        <v>96584.6</v>
      </c>
      <c r="H29" s="69"/>
      <c r="I29" s="146">
        <f>G29/$K$21</f>
        <v>0.82910879684771677</v>
      </c>
      <c r="J29" s="69"/>
      <c r="K29" s="68"/>
      <c r="L29" s="194"/>
    </row>
    <row r="30" spans="1:12" x14ac:dyDescent="0.25">
      <c r="A30" s="33" t="s">
        <v>87</v>
      </c>
      <c r="B30" s="10" t="s">
        <v>121</v>
      </c>
      <c r="C30" s="9" t="s">
        <v>26</v>
      </c>
      <c r="D30" s="164">
        <v>1153.8</v>
      </c>
      <c r="E30" s="13">
        <v>78.849999999999994</v>
      </c>
      <c r="F30" s="67"/>
      <c r="G30" s="95">
        <v>90977.13</v>
      </c>
      <c r="H30" s="69"/>
      <c r="I30" s="146">
        <f t="shared" ref="I30:I32" si="5">G30/$K$21</f>
        <v>0.78097273059015948</v>
      </c>
      <c r="J30" s="69"/>
      <c r="K30" s="68"/>
      <c r="L30" s="194"/>
    </row>
    <row r="31" spans="1:12" x14ac:dyDescent="0.25">
      <c r="A31" s="33" t="s">
        <v>574</v>
      </c>
      <c r="B31" s="10" t="s">
        <v>123</v>
      </c>
      <c r="C31" s="9" t="s">
        <v>26</v>
      </c>
      <c r="D31" s="164">
        <v>192.3</v>
      </c>
      <c r="E31" s="13">
        <v>10.49</v>
      </c>
      <c r="F31" s="67"/>
      <c r="G31" s="95">
        <v>2017.23</v>
      </c>
      <c r="H31" s="69"/>
      <c r="I31" s="146">
        <f t="shared" si="5"/>
        <v>1.7316457678192173E-2</v>
      </c>
      <c r="J31" s="69"/>
      <c r="K31" s="68"/>
      <c r="L31" s="194"/>
    </row>
    <row r="32" spans="1:12" x14ac:dyDescent="0.25">
      <c r="A32" s="33" t="s">
        <v>575</v>
      </c>
      <c r="B32" s="10" t="s">
        <v>125</v>
      </c>
      <c r="C32" s="9" t="s">
        <v>26</v>
      </c>
      <c r="D32" s="164">
        <v>192.3</v>
      </c>
      <c r="E32" s="13">
        <v>18.670000000000002</v>
      </c>
      <c r="F32" s="67"/>
      <c r="G32" s="95">
        <v>3590.24</v>
      </c>
      <c r="H32" s="69"/>
      <c r="I32" s="146">
        <f t="shared" si="5"/>
        <v>3.0819608579365099E-2</v>
      </c>
      <c r="J32" s="69"/>
      <c r="K32" s="68"/>
      <c r="L32" s="194"/>
    </row>
    <row r="33" spans="1:15" x14ac:dyDescent="0.25">
      <c r="A33" s="32" t="s">
        <v>103</v>
      </c>
      <c r="B33" s="8" t="s">
        <v>69</v>
      </c>
      <c r="C33" s="9"/>
      <c r="D33" s="164"/>
      <c r="E33" s="13"/>
      <c r="F33" s="67"/>
      <c r="G33" s="109"/>
      <c r="H33" s="143">
        <f>G34</f>
        <v>2321.8000000000002</v>
      </c>
      <c r="I33" s="145">
        <f t="shared" si="4"/>
        <v>1.9930970408543688E-2</v>
      </c>
      <c r="J33" s="69"/>
      <c r="K33" s="68"/>
      <c r="L33" s="194"/>
    </row>
    <row r="34" spans="1:15" x14ac:dyDescent="0.25">
      <c r="A34" s="32" t="s">
        <v>104</v>
      </c>
      <c r="B34" s="8" t="s">
        <v>71</v>
      </c>
      <c r="C34" s="9"/>
      <c r="D34" s="164"/>
      <c r="E34" s="13"/>
      <c r="F34" s="67"/>
      <c r="G34" s="109">
        <f>G35</f>
        <v>2321.8000000000002</v>
      </c>
      <c r="H34" s="69"/>
      <c r="I34" s="146">
        <f>G34/$K$21</f>
        <v>1.9930970408543688E-2</v>
      </c>
      <c r="J34" s="69"/>
      <c r="K34" s="68"/>
      <c r="L34" s="194"/>
    </row>
    <row r="35" spans="1:15" x14ac:dyDescent="0.25">
      <c r="A35" s="33" t="s">
        <v>105</v>
      </c>
      <c r="B35" s="10" t="s">
        <v>73</v>
      </c>
      <c r="C35" s="9" t="s">
        <v>57</v>
      </c>
      <c r="D35" s="164">
        <v>76</v>
      </c>
      <c r="E35" s="13">
        <v>30.55</v>
      </c>
      <c r="F35" s="67"/>
      <c r="G35" s="95">
        <v>2321.8000000000002</v>
      </c>
      <c r="H35" s="69"/>
      <c r="I35" s="146">
        <f>G35/$K$21</f>
        <v>1.9930970408543688E-2</v>
      </c>
      <c r="J35" s="69"/>
      <c r="K35" s="68"/>
      <c r="L35" s="194"/>
    </row>
    <row r="36" spans="1:15" x14ac:dyDescent="0.25">
      <c r="A36" s="33"/>
      <c r="B36" s="10"/>
      <c r="C36" s="9"/>
      <c r="D36" s="164"/>
      <c r="E36" s="13"/>
      <c r="F36" s="67"/>
      <c r="G36" s="95"/>
      <c r="H36" s="69"/>
      <c r="I36" s="152"/>
      <c r="J36" s="69"/>
      <c r="K36" s="68"/>
      <c r="L36" s="194"/>
    </row>
    <row r="37" spans="1:15" x14ac:dyDescent="0.25">
      <c r="A37" s="32">
        <v>3</v>
      </c>
      <c r="B37" s="8" t="s">
        <v>576</v>
      </c>
      <c r="C37" s="9"/>
      <c r="D37" s="164"/>
      <c r="E37" s="13"/>
      <c r="F37" s="67"/>
      <c r="G37" s="109"/>
      <c r="H37" s="69"/>
      <c r="I37" s="152"/>
      <c r="J37" s="69"/>
      <c r="K37" s="68">
        <f>SUM(H37:H51)</f>
        <v>1154361.47</v>
      </c>
      <c r="L37" s="169">
        <f>K37/$G$133</f>
        <v>0.29341024536454791</v>
      </c>
      <c r="N37" s="66"/>
      <c r="O37" s="65"/>
    </row>
    <row r="38" spans="1:15" x14ac:dyDescent="0.25">
      <c r="A38" s="32" t="s">
        <v>109</v>
      </c>
      <c r="B38" s="8" t="s">
        <v>15</v>
      </c>
      <c r="C38" s="9"/>
      <c r="D38" s="164"/>
      <c r="E38" s="13"/>
      <c r="F38" s="67"/>
      <c r="G38" s="109"/>
      <c r="H38" s="143">
        <f>G39</f>
        <v>40246.770000000004</v>
      </c>
      <c r="I38" s="145">
        <f>H38/$K$37</f>
        <v>3.4864963051824661E-2</v>
      </c>
      <c r="J38" s="69"/>
      <c r="K38" s="68"/>
      <c r="L38" s="194"/>
    </row>
    <row r="39" spans="1:15" x14ac:dyDescent="0.25">
      <c r="A39" s="32" t="s">
        <v>110</v>
      </c>
      <c r="B39" s="8" t="s">
        <v>17</v>
      </c>
      <c r="C39" s="9"/>
      <c r="D39" s="164"/>
      <c r="E39" s="13"/>
      <c r="F39" s="67"/>
      <c r="G39" s="109">
        <f>SUM(G40:G43)</f>
        <v>40246.770000000004</v>
      </c>
      <c r="H39" s="69"/>
      <c r="I39" s="146">
        <f>G39/$K$37</f>
        <v>3.4864963051824661E-2</v>
      </c>
      <c r="J39" s="69"/>
      <c r="K39" s="68"/>
      <c r="L39" s="194"/>
    </row>
    <row r="40" spans="1:15" x14ac:dyDescent="0.25">
      <c r="A40" s="33" t="s">
        <v>111</v>
      </c>
      <c r="B40" s="10" t="s">
        <v>19</v>
      </c>
      <c r="C40" s="9" t="s">
        <v>20</v>
      </c>
      <c r="D40" s="164">
        <v>1467</v>
      </c>
      <c r="E40" s="13">
        <v>4.38</v>
      </c>
      <c r="F40" s="67"/>
      <c r="G40" s="95">
        <v>6425.46</v>
      </c>
      <c r="H40" s="69"/>
      <c r="I40" s="146">
        <f t="shared" ref="I40:I43" si="6">G40/$K$37</f>
        <v>5.566246073684355E-3</v>
      </c>
      <c r="J40" s="69"/>
      <c r="K40" s="68"/>
      <c r="L40" s="194"/>
    </row>
    <row r="41" spans="1:15" x14ac:dyDescent="0.25">
      <c r="A41" s="33" t="s">
        <v>112</v>
      </c>
      <c r="B41" s="10" t="s">
        <v>22</v>
      </c>
      <c r="C41" s="9" t="s">
        <v>23</v>
      </c>
      <c r="D41" s="164">
        <v>36.68</v>
      </c>
      <c r="E41" s="13">
        <v>217.25</v>
      </c>
      <c r="F41" s="67"/>
      <c r="G41" s="95">
        <v>7967.64</v>
      </c>
      <c r="H41" s="69"/>
      <c r="I41" s="146">
        <f t="shared" si="6"/>
        <v>6.9022054244412719E-3</v>
      </c>
      <c r="J41" s="69"/>
      <c r="K41" s="68"/>
      <c r="L41" s="194"/>
    </row>
    <row r="42" spans="1:15" x14ac:dyDescent="0.25">
      <c r="A42" s="33" t="s">
        <v>113</v>
      </c>
      <c r="B42" s="10" t="s">
        <v>25</v>
      </c>
      <c r="C42" s="9" t="s">
        <v>26</v>
      </c>
      <c r="D42" s="164">
        <v>440.1</v>
      </c>
      <c r="E42" s="13">
        <v>17.54</v>
      </c>
      <c r="F42" s="67"/>
      <c r="G42" s="95">
        <v>7719.35</v>
      </c>
      <c r="H42" s="69"/>
      <c r="I42" s="146">
        <f t="shared" si="6"/>
        <v>6.6871168179235925E-3</v>
      </c>
      <c r="J42" s="69"/>
      <c r="K42" s="68"/>
      <c r="L42" s="194"/>
    </row>
    <row r="43" spans="1:15" ht="25.5" x14ac:dyDescent="0.25">
      <c r="A43" s="33" t="s">
        <v>114</v>
      </c>
      <c r="B43" s="10" t="s">
        <v>28</v>
      </c>
      <c r="C43" s="9" t="s">
        <v>29</v>
      </c>
      <c r="D43" s="164">
        <v>8846.01</v>
      </c>
      <c r="E43" s="13">
        <v>2.0499999999999998</v>
      </c>
      <c r="F43" s="67"/>
      <c r="G43" s="95">
        <v>18134.32</v>
      </c>
      <c r="H43" s="69"/>
      <c r="I43" s="146">
        <f t="shared" si="6"/>
        <v>1.5709394735775442E-2</v>
      </c>
      <c r="J43" s="69"/>
      <c r="K43" s="68"/>
      <c r="L43" s="194"/>
    </row>
    <row r="44" spans="1:15" x14ac:dyDescent="0.25">
      <c r="A44" s="32" t="s">
        <v>115</v>
      </c>
      <c r="B44" s="8" t="s">
        <v>31</v>
      </c>
      <c r="C44" s="9"/>
      <c r="D44" s="164"/>
      <c r="E44" s="13"/>
      <c r="F44" s="67"/>
      <c r="G44" s="109"/>
      <c r="H44" s="143">
        <f>G45</f>
        <v>1107174.24</v>
      </c>
      <c r="I44" s="145">
        <f t="shared" ref="I44:I47" si="7">H44/$K$37</f>
        <v>0.95912265678791242</v>
      </c>
      <c r="J44" s="69"/>
      <c r="K44" s="68"/>
      <c r="L44" s="194"/>
    </row>
    <row r="45" spans="1:15" x14ac:dyDescent="0.25">
      <c r="A45" s="32" t="s">
        <v>116</v>
      </c>
      <c r="B45" s="8" t="s">
        <v>33</v>
      </c>
      <c r="C45" s="9"/>
      <c r="D45" s="164"/>
      <c r="E45" s="13"/>
      <c r="F45" s="67"/>
      <c r="G45" s="109">
        <f>G46</f>
        <v>1107174.24</v>
      </c>
      <c r="H45" s="69"/>
      <c r="I45" s="146">
        <f>G46/$K$37</f>
        <v>0.95912265678791242</v>
      </c>
      <c r="J45" s="69"/>
      <c r="K45" s="68"/>
      <c r="L45" s="194"/>
    </row>
    <row r="46" spans="1:15" ht="38.25" x14ac:dyDescent="0.25">
      <c r="A46" s="33" t="s">
        <v>117</v>
      </c>
      <c r="B46" s="10" t="s">
        <v>35</v>
      </c>
      <c r="C46" s="9" t="s">
        <v>20</v>
      </c>
      <c r="D46" s="164">
        <v>1467</v>
      </c>
      <c r="E46" s="13">
        <v>754.72</v>
      </c>
      <c r="F46" s="67"/>
      <c r="G46" s="95">
        <f>D46*E46</f>
        <v>1107174.24</v>
      </c>
      <c r="H46" s="69"/>
      <c r="I46" s="146">
        <f>G47/$K$37</f>
        <v>0</v>
      </c>
      <c r="J46" s="69"/>
      <c r="K46" s="68"/>
      <c r="L46" s="194"/>
    </row>
    <row r="47" spans="1:15" x14ac:dyDescent="0.25">
      <c r="A47" s="32" t="s">
        <v>126</v>
      </c>
      <c r="B47" s="8" t="s">
        <v>69</v>
      </c>
      <c r="C47" s="9"/>
      <c r="D47" s="164"/>
      <c r="E47" s="13"/>
      <c r="F47" s="67"/>
      <c r="G47" s="109"/>
      <c r="H47" s="143">
        <f>G48+G50</f>
        <v>6940.46</v>
      </c>
      <c r="I47" s="145">
        <f t="shared" si="7"/>
        <v>6.0123801602629725E-3</v>
      </c>
      <c r="J47" s="69"/>
      <c r="K47" s="68"/>
      <c r="L47" s="194"/>
    </row>
    <row r="48" spans="1:15" x14ac:dyDescent="0.25">
      <c r="A48" s="32" t="s">
        <v>127</v>
      </c>
      <c r="B48" s="8" t="s">
        <v>71</v>
      </c>
      <c r="C48" s="9"/>
      <c r="D48" s="164"/>
      <c r="E48" s="13"/>
      <c r="F48" s="67"/>
      <c r="G48" s="109">
        <f>G49</f>
        <v>4888</v>
      </c>
      <c r="H48" s="69"/>
      <c r="I48" s="146">
        <f>G48/$K$37</f>
        <v>4.2343755634879259E-3</v>
      </c>
      <c r="J48" s="69"/>
      <c r="K48" s="68"/>
      <c r="L48" s="194"/>
    </row>
    <row r="49" spans="1:12" x14ac:dyDescent="0.25">
      <c r="A49" s="33" t="s">
        <v>128</v>
      </c>
      <c r="B49" s="10" t="s">
        <v>73</v>
      </c>
      <c r="C49" s="9" t="s">
        <v>57</v>
      </c>
      <c r="D49" s="164">
        <v>160</v>
      </c>
      <c r="E49" s="13">
        <v>30.55</v>
      </c>
      <c r="F49" s="67"/>
      <c r="G49" s="95">
        <v>4888</v>
      </c>
      <c r="H49" s="69"/>
      <c r="I49" s="146">
        <f t="shared" ref="I49:I51" si="8">G49/$K$37</f>
        <v>4.2343755634879259E-3</v>
      </c>
      <c r="J49" s="69"/>
      <c r="K49" s="68"/>
      <c r="L49" s="194"/>
    </row>
    <row r="50" spans="1:12" x14ac:dyDescent="0.25">
      <c r="A50" s="32" t="s">
        <v>129</v>
      </c>
      <c r="B50" s="8" t="s">
        <v>75</v>
      </c>
      <c r="C50" s="9"/>
      <c r="D50" s="164"/>
      <c r="E50" s="13"/>
      <c r="F50" s="67"/>
      <c r="G50" s="109">
        <f>G51</f>
        <v>2052.46</v>
      </c>
      <c r="H50" s="69"/>
      <c r="I50" s="146">
        <f t="shared" si="8"/>
        <v>1.7780045967750466E-3</v>
      </c>
      <c r="J50" s="69"/>
      <c r="K50" s="68"/>
      <c r="L50" s="194"/>
    </row>
    <row r="51" spans="1:12" ht="38.25" x14ac:dyDescent="0.25">
      <c r="A51" s="33" t="s">
        <v>130</v>
      </c>
      <c r="B51" s="10" t="s">
        <v>77</v>
      </c>
      <c r="C51" s="9" t="s">
        <v>26</v>
      </c>
      <c r="D51" s="164">
        <v>1.2</v>
      </c>
      <c r="E51" s="13">
        <v>1710.38</v>
      </c>
      <c r="F51" s="67"/>
      <c r="G51" s="95">
        <v>2052.46</v>
      </c>
      <c r="H51" s="69"/>
      <c r="I51" s="146">
        <f t="shared" si="8"/>
        <v>1.7780045967750466E-3</v>
      </c>
      <c r="J51" s="69"/>
      <c r="K51" s="68"/>
      <c r="L51" s="194"/>
    </row>
    <row r="52" spans="1:12" x14ac:dyDescent="0.25">
      <c r="A52" s="33"/>
      <c r="B52" s="10"/>
      <c r="C52" s="9"/>
      <c r="D52" s="164"/>
      <c r="E52" s="13"/>
      <c r="F52" s="67"/>
      <c r="G52" s="95"/>
      <c r="H52" s="69"/>
      <c r="I52" s="152"/>
      <c r="J52" s="69"/>
      <c r="K52" s="68"/>
      <c r="L52" s="194"/>
    </row>
    <row r="53" spans="1:12" x14ac:dyDescent="0.25">
      <c r="A53" s="32">
        <v>4</v>
      </c>
      <c r="B53" s="8" t="s">
        <v>577</v>
      </c>
      <c r="C53" s="9"/>
      <c r="D53" s="164"/>
      <c r="E53" s="13"/>
      <c r="F53" s="67"/>
      <c r="G53" s="109"/>
      <c r="H53" s="69"/>
      <c r="I53" s="67"/>
      <c r="J53" s="69"/>
      <c r="K53" s="68">
        <f>SUM(H53:H69)</f>
        <v>734263.16999999993</v>
      </c>
      <c r="L53" s="169">
        <f>K53/$G$133</f>
        <v>0.18663160757769465</v>
      </c>
    </row>
    <row r="54" spans="1:12" x14ac:dyDescent="0.25">
      <c r="A54" s="32" t="s">
        <v>132</v>
      </c>
      <c r="B54" s="8" t="s">
        <v>15</v>
      </c>
      <c r="C54" s="9"/>
      <c r="D54" s="164"/>
      <c r="E54" s="13"/>
      <c r="F54" s="67"/>
      <c r="G54" s="109"/>
      <c r="H54" s="143">
        <f>G55</f>
        <v>110150.51999999999</v>
      </c>
      <c r="I54" s="145">
        <f>H54/$K$53</f>
        <v>0.15001504160967247</v>
      </c>
      <c r="J54" s="69"/>
      <c r="K54" s="68"/>
      <c r="L54" s="194"/>
    </row>
    <row r="55" spans="1:12" x14ac:dyDescent="0.25">
      <c r="A55" s="32" t="s">
        <v>133</v>
      </c>
      <c r="B55" s="8" t="s">
        <v>17</v>
      </c>
      <c r="C55" s="9"/>
      <c r="D55" s="164"/>
      <c r="E55" s="13"/>
      <c r="F55" s="67"/>
      <c r="G55" s="109">
        <f>SUM(G56:G59)</f>
        <v>110150.51999999999</v>
      </c>
      <c r="H55" s="69"/>
      <c r="I55" s="146">
        <f>G55/$K$53</f>
        <v>0.15001504160967247</v>
      </c>
      <c r="J55" s="69"/>
      <c r="K55" s="68"/>
      <c r="L55" s="194"/>
    </row>
    <row r="56" spans="1:12" x14ac:dyDescent="0.25">
      <c r="A56" s="33" t="s">
        <v>134</v>
      </c>
      <c r="B56" s="10" t="s">
        <v>19</v>
      </c>
      <c r="C56" s="9" t="s">
        <v>20</v>
      </c>
      <c r="D56" s="164">
        <v>4015</v>
      </c>
      <c r="E56" s="13">
        <v>4.38</v>
      </c>
      <c r="F56" s="67"/>
      <c r="G56" s="95">
        <v>17585.7</v>
      </c>
      <c r="H56" s="69"/>
      <c r="I56" s="146">
        <f t="shared" ref="I56:I59" si="9">G56/$K$53</f>
        <v>2.3950132212133154E-2</v>
      </c>
      <c r="J56" s="69"/>
      <c r="K56" s="68"/>
      <c r="L56" s="194"/>
    </row>
    <row r="57" spans="1:12" x14ac:dyDescent="0.25">
      <c r="A57" s="33" t="s">
        <v>135</v>
      </c>
      <c r="B57" s="10" t="s">
        <v>22</v>
      </c>
      <c r="C57" s="9" t="s">
        <v>23</v>
      </c>
      <c r="D57" s="164">
        <v>100.38</v>
      </c>
      <c r="E57" s="13">
        <v>217.25</v>
      </c>
      <c r="F57" s="67"/>
      <c r="G57" s="95">
        <v>21806.47</v>
      </c>
      <c r="H57" s="69"/>
      <c r="I57" s="146">
        <f t="shared" si="9"/>
        <v>2.9698439048767764E-2</v>
      </c>
      <c r="J57" s="69"/>
      <c r="K57" s="68"/>
      <c r="L57" s="194"/>
    </row>
    <row r="58" spans="1:12" x14ac:dyDescent="0.25">
      <c r="A58" s="33" t="s">
        <v>136</v>
      </c>
      <c r="B58" s="10" t="s">
        <v>25</v>
      </c>
      <c r="C58" s="9" t="s">
        <v>26</v>
      </c>
      <c r="D58" s="164">
        <v>1204.5</v>
      </c>
      <c r="E58" s="13">
        <v>17.54</v>
      </c>
      <c r="F58" s="67"/>
      <c r="G58" s="95">
        <v>21126.93</v>
      </c>
      <c r="H58" s="69"/>
      <c r="I58" s="146">
        <f t="shared" si="9"/>
        <v>2.8772967054850378E-2</v>
      </c>
      <c r="J58" s="69"/>
      <c r="K58" s="68"/>
      <c r="L58" s="194"/>
    </row>
    <row r="59" spans="1:12" ht="25.5" x14ac:dyDescent="0.25">
      <c r="A59" s="33" t="s">
        <v>137</v>
      </c>
      <c r="B59" s="10" t="s">
        <v>28</v>
      </c>
      <c r="C59" s="9" t="s">
        <v>29</v>
      </c>
      <c r="D59" s="164">
        <v>24210.45</v>
      </c>
      <c r="E59" s="13">
        <v>2.0499999999999998</v>
      </c>
      <c r="F59" s="67"/>
      <c r="G59" s="95">
        <v>49631.42</v>
      </c>
      <c r="H59" s="69"/>
      <c r="I59" s="146">
        <f t="shared" si="9"/>
        <v>6.7593503293921178E-2</v>
      </c>
      <c r="J59" s="69"/>
      <c r="K59" s="68"/>
      <c r="L59" s="194"/>
    </row>
    <row r="60" spans="1:12" x14ac:dyDescent="0.25">
      <c r="A60" s="32" t="s">
        <v>138</v>
      </c>
      <c r="B60" s="8" t="s">
        <v>31</v>
      </c>
      <c r="C60" s="9"/>
      <c r="D60" s="164"/>
      <c r="E60" s="13"/>
      <c r="F60" s="67"/>
      <c r="G60" s="109"/>
      <c r="H60" s="143">
        <f>G61</f>
        <v>604972.15999999992</v>
      </c>
      <c r="I60" s="145">
        <f t="shared" ref="I60:I65" si="10">H60/$K$53</f>
        <v>0.82391734287857576</v>
      </c>
      <c r="J60" s="69"/>
      <c r="K60" s="68"/>
      <c r="L60" s="194"/>
    </row>
    <row r="61" spans="1:12" x14ac:dyDescent="0.25">
      <c r="A61" s="32" t="s">
        <v>139</v>
      </c>
      <c r="B61" s="8" t="s">
        <v>119</v>
      </c>
      <c r="C61" s="9"/>
      <c r="D61" s="164"/>
      <c r="E61" s="13"/>
      <c r="F61" s="67"/>
      <c r="G61" s="109">
        <f>SUM(G62:G64)</f>
        <v>604972.15999999992</v>
      </c>
      <c r="H61" s="69"/>
      <c r="I61" s="146">
        <f>G61/$K$53</f>
        <v>0.82391734287857576</v>
      </c>
      <c r="J61" s="69"/>
      <c r="K61" s="68"/>
      <c r="L61" s="194"/>
    </row>
    <row r="62" spans="1:12" x14ac:dyDescent="0.25">
      <c r="A62" s="33" t="s">
        <v>140</v>
      </c>
      <c r="B62" s="10" t="s">
        <v>121</v>
      </c>
      <c r="C62" s="9" t="s">
        <v>26</v>
      </c>
      <c r="D62" s="164">
        <v>7227</v>
      </c>
      <c r="E62" s="13">
        <v>78.849999999999994</v>
      </c>
      <c r="F62" s="67"/>
      <c r="G62" s="95">
        <v>569848.94999999995</v>
      </c>
      <c r="H62" s="69"/>
      <c r="I62" s="146">
        <f t="shared" ref="I62:I64" si="11">G62/$K$53</f>
        <v>0.77608270887398589</v>
      </c>
      <c r="J62" s="69"/>
      <c r="K62" s="68"/>
      <c r="L62" s="194"/>
    </row>
    <row r="63" spans="1:12" x14ac:dyDescent="0.25">
      <c r="A63" s="33" t="s">
        <v>141</v>
      </c>
      <c r="B63" s="10" t="s">
        <v>123</v>
      </c>
      <c r="C63" s="9" t="s">
        <v>26</v>
      </c>
      <c r="D63" s="164">
        <v>1204.5</v>
      </c>
      <c r="E63" s="13">
        <v>10.49</v>
      </c>
      <c r="F63" s="67"/>
      <c r="G63" s="95">
        <v>12635.2</v>
      </c>
      <c r="H63" s="69"/>
      <c r="I63" s="146">
        <f t="shared" si="11"/>
        <v>1.7207999142868628E-2</v>
      </c>
      <c r="J63" s="69"/>
      <c r="K63" s="68"/>
      <c r="L63" s="194"/>
    </row>
    <row r="64" spans="1:12" x14ac:dyDescent="0.25">
      <c r="A64" s="33" t="s">
        <v>142</v>
      </c>
      <c r="B64" s="10" t="s">
        <v>125</v>
      </c>
      <c r="C64" s="9" t="s">
        <v>26</v>
      </c>
      <c r="D64" s="164">
        <v>1204.5</v>
      </c>
      <c r="E64" s="13">
        <v>18.670000000000002</v>
      </c>
      <c r="F64" s="67"/>
      <c r="G64" s="95">
        <v>22488.01</v>
      </c>
      <c r="H64" s="69"/>
      <c r="I64" s="146">
        <f t="shared" si="11"/>
        <v>3.0626634861721309E-2</v>
      </c>
      <c r="J64" s="69"/>
      <c r="K64" s="68"/>
      <c r="L64" s="194"/>
    </row>
    <row r="65" spans="1:12" x14ac:dyDescent="0.25">
      <c r="A65" s="32" t="s">
        <v>185</v>
      </c>
      <c r="B65" s="8" t="s">
        <v>69</v>
      </c>
      <c r="C65" s="9"/>
      <c r="D65" s="164"/>
      <c r="E65" s="13"/>
      <c r="F65" s="67"/>
      <c r="G65" s="109"/>
      <c r="H65" s="143">
        <f>G66+G68</f>
        <v>19140.489999999998</v>
      </c>
      <c r="I65" s="145">
        <f t="shared" si="10"/>
        <v>2.6067615511751734E-2</v>
      </c>
      <c r="J65" s="69"/>
      <c r="K65" s="68"/>
      <c r="L65" s="194"/>
    </row>
    <row r="66" spans="1:12" x14ac:dyDescent="0.25">
      <c r="A66" s="32" t="s">
        <v>186</v>
      </c>
      <c r="B66" s="8" t="s">
        <v>71</v>
      </c>
      <c r="C66" s="9"/>
      <c r="D66" s="164"/>
      <c r="E66" s="13"/>
      <c r="F66" s="67"/>
      <c r="G66" s="109">
        <f>G67</f>
        <v>10417.549999999999</v>
      </c>
      <c r="H66" s="69"/>
      <c r="I66" s="146">
        <f>G66/$K$53</f>
        <v>1.4187760500094265E-2</v>
      </c>
      <c r="J66" s="69"/>
      <c r="K66" s="68"/>
      <c r="L66" s="194"/>
    </row>
    <row r="67" spans="1:12" x14ac:dyDescent="0.25">
      <c r="A67" s="33" t="s">
        <v>187</v>
      </c>
      <c r="B67" s="10" t="s">
        <v>73</v>
      </c>
      <c r="C67" s="9" t="s">
        <v>57</v>
      </c>
      <c r="D67" s="164">
        <v>341</v>
      </c>
      <c r="E67" s="13">
        <v>30.55</v>
      </c>
      <c r="F67" s="67"/>
      <c r="G67" s="95">
        <v>10417.549999999999</v>
      </c>
      <c r="H67" s="69"/>
      <c r="I67" s="146">
        <f t="shared" ref="I67:I69" si="12">G67/$K$53</f>
        <v>1.4187760500094265E-2</v>
      </c>
      <c r="J67" s="69"/>
      <c r="K67" s="68"/>
      <c r="L67" s="194"/>
    </row>
    <row r="68" spans="1:12" x14ac:dyDescent="0.25">
      <c r="A68" s="32" t="s">
        <v>188</v>
      </c>
      <c r="B68" s="8" t="s">
        <v>75</v>
      </c>
      <c r="C68" s="9"/>
      <c r="D68" s="164"/>
      <c r="E68" s="13"/>
      <c r="F68" s="67"/>
      <c r="G68" s="109">
        <f>G69</f>
        <v>8722.94</v>
      </c>
      <c r="H68" s="69"/>
      <c r="I68" s="146">
        <f t="shared" si="12"/>
        <v>1.187985501165747E-2</v>
      </c>
      <c r="J68" s="69"/>
      <c r="K68" s="68"/>
      <c r="L68" s="194"/>
    </row>
    <row r="69" spans="1:12" ht="38.25" x14ac:dyDescent="0.25">
      <c r="A69" s="33" t="s">
        <v>189</v>
      </c>
      <c r="B69" s="10" t="s">
        <v>77</v>
      </c>
      <c r="C69" s="9" t="s">
        <v>26</v>
      </c>
      <c r="D69" s="164">
        <v>5.0999999999999996</v>
      </c>
      <c r="E69" s="13">
        <v>1710.38</v>
      </c>
      <c r="F69" s="67"/>
      <c r="G69" s="95">
        <v>8722.94</v>
      </c>
      <c r="H69" s="69"/>
      <c r="I69" s="146">
        <f t="shared" si="12"/>
        <v>1.187985501165747E-2</v>
      </c>
      <c r="J69" s="69"/>
      <c r="K69" s="68"/>
      <c r="L69" s="194"/>
    </row>
    <row r="70" spans="1:12" x14ac:dyDescent="0.25">
      <c r="A70" s="33"/>
      <c r="B70" s="10"/>
      <c r="C70" s="9"/>
      <c r="D70" s="164"/>
      <c r="E70" s="13"/>
      <c r="F70" s="67"/>
      <c r="G70" s="95"/>
      <c r="H70" s="69"/>
      <c r="I70" s="152"/>
      <c r="J70" s="69"/>
      <c r="K70" s="68"/>
      <c r="L70" s="194"/>
    </row>
    <row r="71" spans="1:12" x14ac:dyDescent="0.25">
      <c r="A71" s="32">
        <v>5</v>
      </c>
      <c r="B71" s="8" t="s">
        <v>582</v>
      </c>
      <c r="C71" s="9"/>
      <c r="D71" s="164"/>
      <c r="E71" s="13"/>
      <c r="F71" s="67"/>
      <c r="G71" s="109"/>
      <c r="H71" s="69"/>
      <c r="I71" s="67"/>
      <c r="J71" s="69"/>
      <c r="K71" s="68">
        <f>SUM(H71:H85)</f>
        <v>1027315.7114999999</v>
      </c>
      <c r="L71" s="169">
        <f>K71/$G$133</f>
        <v>0.26111834361386826</v>
      </c>
    </row>
    <row r="72" spans="1:12" x14ac:dyDescent="0.25">
      <c r="A72" s="32" t="s">
        <v>191</v>
      </c>
      <c r="B72" s="8" t="s">
        <v>15</v>
      </c>
      <c r="C72" s="9"/>
      <c r="D72" s="164"/>
      <c r="E72" s="13"/>
      <c r="F72" s="67"/>
      <c r="G72" s="109"/>
      <c r="H72" s="143">
        <f>G73</f>
        <v>157640.0735</v>
      </c>
      <c r="I72" s="145">
        <f>H72/$K$53</f>
        <v>0.21469151653078283</v>
      </c>
      <c r="J72" s="69"/>
      <c r="K72" s="68"/>
      <c r="L72" s="194"/>
    </row>
    <row r="73" spans="1:12" x14ac:dyDescent="0.25">
      <c r="A73" s="32" t="s">
        <v>192</v>
      </c>
      <c r="B73" s="8" t="s">
        <v>17</v>
      </c>
      <c r="C73" s="9"/>
      <c r="D73" s="164"/>
      <c r="E73" s="13"/>
      <c r="F73" s="67"/>
      <c r="G73" s="109">
        <f>SUM(G74:G77)</f>
        <v>157640.0735</v>
      </c>
      <c r="H73" s="69"/>
      <c r="I73" s="146">
        <f>G73/$K$53</f>
        <v>0.21469151653078283</v>
      </c>
      <c r="J73" s="69"/>
      <c r="K73" s="68"/>
      <c r="L73" s="194"/>
    </row>
    <row r="74" spans="1:12" x14ac:dyDescent="0.25">
      <c r="A74" s="33" t="s">
        <v>193</v>
      </c>
      <c r="B74" s="10" t="s">
        <v>19</v>
      </c>
      <c r="C74" s="9" t="s">
        <v>20</v>
      </c>
      <c r="D74" s="164">
        <v>5746</v>
      </c>
      <c r="E74" s="13">
        <v>4.38</v>
      </c>
      <c r="F74" s="67"/>
      <c r="G74" s="95">
        <f>D74*E74</f>
        <v>25167.48</v>
      </c>
      <c r="H74" s="69"/>
      <c r="I74" s="146">
        <f t="shared" ref="I74:I77" si="13">G74/$K$53</f>
        <v>3.4275830558136267E-2</v>
      </c>
      <c r="J74" s="69"/>
      <c r="K74" s="68"/>
      <c r="L74" s="194"/>
    </row>
    <row r="75" spans="1:12" x14ac:dyDescent="0.25">
      <c r="A75" s="33" t="s">
        <v>194</v>
      </c>
      <c r="B75" s="10" t="s">
        <v>22</v>
      </c>
      <c r="C75" s="9" t="s">
        <v>23</v>
      </c>
      <c r="D75" s="164">
        <v>143.65</v>
      </c>
      <c r="E75" s="13">
        <v>217.25</v>
      </c>
      <c r="F75" s="67"/>
      <c r="G75" s="95">
        <f t="shared" ref="G75:G77" si="14">D75*E75</f>
        <v>31207.962500000001</v>
      </c>
      <c r="H75" s="69"/>
      <c r="I75" s="146">
        <f t="shared" si="13"/>
        <v>4.2502421168693516E-2</v>
      </c>
      <c r="J75" s="69"/>
      <c r="K75" s="68"/>
      <c r="L75" s="194"/>
    </row>
    <row r="76" spans="1:12" x14ac:dyDescent="0.25">
      <c r="A76" s="33" t="s">
        <v>195</v>
      </c>
      <c r="B76" s="10" t="s">
        <v>25</v>
      </c>
      <c r="C76" s="9" t="s">
        <v>26</v>
      </c>
      <c r="D76" s="164">
        <v>1723.8</v>
      </c>
      <c r="E76" s="13">
        <v>17.54</v>
      </c>
      <c r="F76" s="67"/>
      <c r="G76" s="95">
        <f t="shared" si="14"/>
        <v>30235.451999999997</v>
      </c>
      <c r="H76" s="69"/>
      <c r="I76" s="146">
        <f t="shared" si="13"/>
        <v>4.1177949862308903E-2</v>
      </c>
      <c r="J76" s="69"/>
      <c r="K76" s="68"/>
      <c r="L76" s="194"/>
    </row>
    <row r="77" spans="1:12" ht="25.5" x14ac:dyDescent="0.25">
      <c r="A77" s="33" t="s">
        <v>762</v>
      </c>
      <c r="B77" s="10" t="s">
        <v>28</v>
      </c>
      <c r="C77" s="9" t="s">
        <v>29</v>
      </c>
      <c r="D77" s="164">
        <v>34648.379999999997</v>
      </c>
      <c r="E77" s="13">
        <v>2.0499999999999998</v>
      </c>
      <c r="F77" s="67"/>
      <c r="G77" s="95">
        <f t="shared" si="14"/>
        <v>71029.178999999989</v>
      </c>
      <c r="H77" s="69"/>
      <c r="I77" s="146">
        <f t="shared" si="13"/>
        <v>9.673531494164414E-2</v>
      </c>
      <c r="J77" s="69"/>
      <c r="K77" s="68"/>
      <c r="L77" s="194"/>
    </row>
    <row r="78" spans="1:12" x14ac:dyDescent="0.25">
      <c r="A78" s="32" t="s">
        <v>201</v>
      </c>
      <c r="B78" s="8" t="s">
        <v>31</v>
      </c>
      <c r="C78" s="9"/>
      <c r="D78" s="164"/>
      <c r="E78" s="13"/>
      <c r="F78" s="67"/>
      <c r="G78" s="109"/>
      <c r="H78" s="143">
        <f>G79</f>
        <v>865795.78799999994</v>
      </c>
      <c r="I78" s="145">
        <f t="shared" ref="I78:I83" si="15">H78/$K$53</f>
        <v>1.1791355243924329</v>
      </c>
      <c r="J78" s="69"/>
      <c r="K78" s="68"/>
      <c r="L78" s="194"/>
    </row>
    <row r="79" spans="1:12" x14ac:dyDescent="0.25">
      <c r="A79" s="32" t="s">
        <v>202</v>
      </c>
      <c r="B79" s="8" t="s">
        <v>119</v>
      </c>
      <c r="C79" s="9"/>
      <c r="D79" s="164"/>
      <c r="E79" s="13"/>
      <c r="F79" s="67"/>
      <c r="G79" s="109">
        <f>SUM(G80:G82)</f>
        <v>865795.78799999994</v>
      </c>
      <c r="H79" s="69"/>
      <c r="I79" s="146">
        <f>G79/$K$53</f>
        <v>1.1791355243924329</v>
      </c>
      <c r="J79" s="69"/>
      <c r="K79" s="68"/>
      <c r="L79" s="194"/>
    </row>
    <row r="80" spans="1:12" x14ac:dyDescent="0.25">
      <c r="A80" s="33" t="s">
        <v>203</v>
      </c>
      <c r="B80" s="10" t="s">
        <v>121</v>
      </c>
      <c r="C80" s="9" t="s">
        <v>26</v>
      </c>
      <c r="D80" s="164">
        <v>10342.799999999999</v>
      </c>
      <c r="E80" s="13">
        <v>78.849999999999994</v>
      </c>
      <c r="F80" s="67"/>
      <c r="G80" s="95">
        <f>D80*E80</f>
        <v>815529.77999999991</v>
      </c>
      <c r="H80" s="69"/>
      <c r="I80" s="146">
        <f t="shared" ref="I80:I82" si="16">G80/$K$53</f>
        <v>1.1106777696612511</v>
      </c>
      <c r="J80" s="69"/>
      <c r="K80" s="68"/>
      <c r="L80" s="194"/>
    </row>
    <row r="81" spans="1:14" x14ac:dyDescent="0.25">
      <c r="A81" s="33" t="s">
        <v>583</v>
      </c>
      <c r="B81" s="10" t="s">
        <v>123</v>
      </c>
      <c r="C81" s="9" t="s">
        <v>26</v>
      </c>
      <c r="D81" s="164">
        <v>1723.8</v>
      </c>
      <c r="E81" s="13">
        <v>10.49</v>
      </c>
      <c r="F81" s="67"/>
      <c r="G81" s="95">
        <f t="shared" ref="G81:G82" si="17">D81*E81</f>
        <v>18082.662</v>
      </c>
      <c r="H81" s="69"/>
      <c r="I81" s="146">
        <f t="shared" si="16"/>
        <v>2.462694949005818E-2</v>
      </c>
      <c r="J81" s="69"/>
      <c r="K81" s="68"/>
      <c r="L81" s="194"/>
    </row>
    <row r="82" spans="1:14" x14ac:dyDescent="0.25">
      <c r="A82" s="33" t="s">
        <v>584</v>
      </c>
      <c r="B82" s="10" t="s">
        <v>125</v>
      </c>
      <c r="C82" s="9" t="s">
        <v>26</v>
      </c>
      <c r="D82" s="164">
        <v>1723.8</v>
      </c>
      <c r="E82" s="13">
        <v>18.670000000000002</v>
      </c>
      <c r="F82" s="67"/>
      <c r="G82" s="95">
        <f t="shared" si="17"/>
        <v>32183.346000000001</v>
      </c>
      <c r="H82" s="69"/>
      <c r="I82" s="146">
        <f t="shared" si="16"/>
        <v>4.3830805241123566E-2</v>
      </c>
      <c r="J82" s="69"/>
      <c r="K82" s="68"/>
      <c r="L82" s="194"/>
    </row>
    <row r="83" spans="1:14" x14ac:dyDescent="0.25">
      <c r="A83" s="32" t="s">
        <v>345</v>
      </c>
      <c r="B83" s="8" t="s">
        <v>69</v>
      </c>
      <c r="C83" s="9"/>
      <c r="D83" s="164"/>
      <c r="E83" s="13"/>
      <c r="F83" s="67"/>
      <c r="G83" s="109"/>
      <c r="H83" s="143">
        <f>G84</f>
        <v>3879.85</v>
      </c>
      <c r="I83" s="145">
        <f t="shared" si="15"/>
        <v>5.2840046437301223E-3</v>
      </c>
      <c r="J83" s="69"/>
      <c r="K83" s="68"/>
      <c r="L83" s="194"/>
    </row>
    <row r="84" spans="1:14" x14ac:dyDescent="0.25">
      <c r="A84" s="32" t="s">
        <v>346</v>
      </c>
      <c r="B84" s="8" t="s">
        <v>71</v>
      </c>
      <c r="C84" s="9"/>
      <c r="D84" s="164"/>
      <c r="E84" s="13"/>
      <c r="F84" s="67"/>
      <c r="G84" s="109">
        <f>G85</f>
        <v>3879.85</v>
      </c>
      <c r="H84" s="69"/>
      <c r="I84" s="146">
        <f>G84/$K$53</f>
        <v>5.2840046437301223E-3</v>
      </c>
      <c r="J84" s="69"/>
      <c r="K84" s="68"/>
      <c r="L84" s="194"/>
    </row>
    <row r="85" spans="1:14" ht="13.5" thickBot="1" x14ac:dyDescent="0.3">
      <c r="A85" s="34" t="s">
        <v>347</v>
      </c>
      <c r="B85" s="35" t="s">
        <v>73</v>
      </c>
      <c r="C85" s="36" t="s">
        <v>57</v>
      </c>
      <c r="D85" s="168">
        <v>127</v>
      </c>
      <c r="E85" s="37">
        <v>30.55</v>
      </c>
      <c r="F85" s="77"/>
      <c r="G85" s="96">
        <f>D85*E85</f>
        <v>3879.85</v>
      </c>
      <c r="H85" s="203"/>
      <c r="I85" s="151">
        <f t="shared" ref="I85" si="18">G85/$K$53</f>
        <v>5.2840046437301223E-3</v>
      </c>
      <c r="J85" s="203"/>
      <c r="K85" s="78"/>
      <c r="L85" s="198"/>
    </row>
    <row r="86" spans="1:14" ht="13.5" thickBot="1" x14ac:dyDescent="0.3">
      <c r="A86" s="41"/>
      <c r="D86" s="166"/>
      <c r="E86" s="44"/>
      <c r="G86" s="97"/>
      <c r="H86" s="190"/>
      <c r="I86" s="191"/>
      <c r="J86" s="190"/>
      <c r="K86" s="192"/>
      <c r="L86" s="191"/>
    </row>
    <row r="87" spans="1:14" x14ac:dyDescent="0.25">
      <c r="A87" s="25">
        <v>5</v>
      </c>
      <c r="B87" s="26" t="s">
        <v>206</v>
      </c>
      <c r="C87" s="27"/>
      <c r="D87" s="172"/>
      <c r="E87" s="29"/>
      <c r="F87" s="156"/>
      <c r="G87" s="105"/>
      <c r="H87" s="204"/>
      <c r="I87" s="82"/>
      <c r="J87" s="204"/>
      <c r="K87" s="73">
        <f>SUM(H87:H131)</f>
        <v>5397967.2988099996</v>
      </c>
      <c r="L87" s="179">
        <f>K87/G134</f>
        <v>1</v>
      </c>
      <c r="N87" s="66"/>
    </row>
    <row r="88" spans="1:14" x14ac:dyDescent="0.25">
      <c r="A88" s="32" t="s">
        <v>191</v>
      </c>
      <c r="B88" s="8" t="s">
        <v>15</v>
      </c>
      <c r="C88" s="9"/>
      <c r="D88" s="164"/>
      <c r="E88" s="13"/>
      <c r="G88" s="109"/>
      <c r="H88" s="143">
        <f>G89</f>
        <v>876930.37881000002</v>
      </c>
      <c r="I88" s="145">
        <f>H88/$K$87</f>
        <v>0.16245566715517568</v>
      </c>
      <c r="J88" s="69"/>
      <c r="K88" s="68"/>
      <c r="L88" s="194"/>
    </row>
    <row r="89" spans="1:14" x14ac:dyDescent="0.25">
      <c r="A89" s="32" t="s">
        <v>192</v>
      </c>
      <c r="B89" s="8" t="s">
        <v>17</v>
      </c>
      <c r="C89" s="9"/>
      <c r="D89" s="164"/>
      <c r="E89" s="13"/>
      <c r="G89" s="109">
        <f>SUM(G90:G93)</f>
        <v>876930.37881000002</v>
      </c>
      <c r="H89" s="69"/>
      <c r="I89" s="152"/>
      <c r="J89" s="69"/>
      <c r="K89" s="68"/>
      <c r="L89" s="194"/>
    </row>
    <row r="90" spans="1:14" x14ac:dyDescent="0.25">
      <c r="A90" s="33" t="s">
        <v>193</v>
      </c>
      <c r="B90" s="10" t="s">
        <v>19</v>
      </c>
      <c r="C90" s="9" t="s">
        <v>20</v>
      </c>
      <c r="D90" s="164">
        <v>3327</v>
      </c>
      <c r="E90" s="13">
        <v>4.38</v>
      </c>
      <c r="G90" s="95">
        <f>D90*E90</f>
        <v>14572.26</v>
      </c>
      <c r="H90" s="69"/>
      <c r="I90" s="152"/>
      <c r="J90" s="69"/>
      <c r="K90" s="68"/>
      <c r="L90" s="194"/>
    </row>
    <row r="91" spans="1:14" x14ac:dyDescent="0.25">
      <c r="A91" s="33" t="s">
        <v>194</v>
      </c>
      <c r="B91" s="10" t="s">
        <v>22</v>
      </c>
      <c r="C91" s="9" t="s">
        <v>23</v>
      </c>
      <c r="D91" s="164">
        <v>1181.5479600000001</v>
      </c>
      <c r="E91" s="13">
        <v>217.25</v>
      </c>
      <c r="G91" s="95">
        <f t="shared" ref="G91:G93" si="19">D91*E91</f>
        <v>256691.29431000003</v>
      </c>
      <c r="H91" s="69"/>
      <c r="I91" s="152"/>
      <c r="J91" s="69"/>
      <c r="K91" s="68"/>
      <c r="L91" s="194"/>
    </row>
    <row r="92" spans="1:14" x14ac:dyDescent="0.25">
      <c r="A92" s="33" t="s">
        <v>195</v>
      </c>
      <c r="B92" s="10" t="s">
        <v>25</v>
      </c>
      <c r="C92" s="9" t="s">
        <v>26</v>
      </c>
      <c r="D92" s="164">
        <v>10310.1</v>
      </c>
      <c r="E92" s="13">
        <v>17.54</v>
      </c>
      <c r="G92" s="95">
        <f t="shared" si="19"/>
        <v>180839.15400000001</v>
      </c>
      <c r="H92" s="69"/>
      <c r="I92" s="152"/>
      <c r="J92" s="69"/>
      <c r="K92" s="68"/>
      <c r="L92" s="194"/>
    </row>
    <row r="93" spans="1:14" ht="25.5" x14ac:dyDescent="0.25">
      <c r="A93" s="33" t="s">
        <v>196</v>
      </c>
      <c r="B93" s="10" t="s">
        <v>28</v>
      </c>
      <c r="C93" s="9" t="s">
        <v>29</v>
      </c>
      <c r="D93" s="164">
        <v>207233.01</v>
      </c>
      <c r="E93" s="13">
        <v>2.0499999999999998</v>
      </c>
      <c r="G93" s="95">
        <f t="shared" si="19"/>
        <v>424827.67050000001</v>
      </c>
      <c r="H93" s="69"/>
      <c r="I93" s="152"/>
      <c r="J93" s="69"/>
      <c r="K93" s="68"/>
      <c r="L93" s="194"/>
    </row>
    <row r="94" spans="1:14" x14ac:dyDescent="0.25">
      <c r="A94" s="32" t="s">
        <v>345</v>
      </c>
      <c r="B94" s="8" t="s">
        <v>208</v>
      </c>
      <c r="C94" s="9"/>
      <c r="D94" s="164"/>
      <c r="E94" s="13"/>
      <c r="G94" s="109"/>
      <c r="H94" s="143">
        <f>G95+G97+G99</f>
        <v>579371.18999999994</v>
      </c>
      <c r="I94" s="145">
        <f>H94/$K$87</f>
        <v>0.10733136344262854</v>
      </c>
      <c r="J94" s="69"/>
      <c r="K94" s="68"/>
      <c r="L94" s="194"/>
    </row>
    <row r="95" spans="1:14" x14ac:dyDescent="0.25">
      <c r="A95" s="32" t="s">
        <v>346</v>
      </c>
      <c r="B95" s="8" t="s">
        <v>71</v>
      </c>
      <c r="C95" s="9"/>
      <c r="D95" s="164"/>
      <c r="E95" s="13"/>
      <c r="G95" s="109">
        <f>G96</f>
        <v>228506.77</v>
      </c>
      <c r="H95" s="69"/>
      <c r="I95" s="152"/>
      <c r="J95" s="69"/>
      <c r="K95" s="68"/>
      <c r="L95" s="194"/>
    </row>
    <row r="96" spans="1:14" x14ac:dyDescent="0.25">
      <c r="A96" s="33" t="s">
        <v>347</v>
      </c>
      <c r="B96" s="10" t="s">
        <v>73</v>
      </c>
      <c r="C96" s="9" t="s">
        <v>57</v>
      </c>
      <c r="D96" s="164">
        <v>5322</v>
      </c>
      <c r="E96" s="13">
        <v>30.55</v>
      </c>
      <c r="G96" s="95">
        <f>G98</f>
        <v>228506.77</v>
      </c>
      <c r="H96" s="69"/>
      <c r="I96" s="152"/>
      <c r="J96" s="69"/>
      <c r="K96" s="68"/>
      <c r="L96" s="194"/>
    </row>
    <row r="97" spans="1:12" x14ac:dyDescent="0.25">
      <c r="A97" s="32" t="s">
        <v>348</v>
      </c>
      <c r="B97" s="8" t="s">
        <v>75</v>
      </c>
      <c r="C97" s="9"/>
      <c r="D97" s="164"/>
      <c r="E97" s="13"/>
      <c r="G97" s="109">
        <v>228506.77</v>
      </c>
      <c r="H97" s="69"/>
      <c r="I97" s="152"/>
      <c r="J97" s="69"/>
      <c r="K97" s="68"/>
      <c r="L97" s="194"/>
    </row>
    <row r="98" spans="1:12" ht="38.25" x14ac:dyDescent="0.25">
      <c r="A98" s="33" t="s">
        <v>349</v>
      </c>
      <c r="B98" s="10" t="s">
        <v>77</v>
      </c>
      <c r="C98" s="9" t="s">
        <v>26</v>
      </c>
      <c r="D98" s="164">
        <v>133.6</v>
      </c>
      <c r="E98" s="13">
        <v>1710.38</v>
      </c>
      <c r="G98" s="95">
        <v>228506.77</v>
      </c>
      <c r="H98" s="69"/>
      <c r="I98" s="152"/>
      <c r="J98" s="69"/>
      <c r="K98" s="68"/>
      <c r="L98" s="194"/>
    </row>
    <row r="99" spans="1:12" x14ac:dyDescent="0.25">
      <c r="A99" s="32" t="s">
        <v>350</v>
      </c>
      <c r="B99" s="8" t="s">
        <v>446</v>
      </c>
      <c r="C99" s="9"/>
      <c r="D99" s="164"/>
      <c r="E99" s="13"/>
      <c r="G99" s="109">
        <f>G100+G101</f>
        <v>122357.65000000001</v>
      </c>
      <c r="H99" s="69"/>
      <c r="I99" s="152"/>
      <c r="J99" s="69"/>
      <c r="K99" s="68"/>
      <c r="L99" s="194"/>
    </row>
    <row r="100" spans="1:12" ht="25.5" x14ac:dyDescent="0.25">
      <c r="A100" s="33" t="s">
        <v>351</v>
      </c>
      <c r="B100" s="10" t="s">
        <v>448</v>
      </c>
      <c r="C100" s="9" t="s">
        <v>57</v>
      </c>
      <c r="D100" s="164">
        <v>578</v>
      </c>
      <c r="E100" s="13">
        <v>206.46</v>
      </c>
      <c r="G100" s="95">
        <v>119333.88</v>
      </c>
      <c r="H100" s="69"/>
      <c r="I100" s="152"/>
      <c r="J100" s="69"/>
      <c r="K100" s="68"/>
      <c r="L100" s="194"/>
    </row>
    <row r="101" spans="1:12" x14ac:dyDescent="0.25">
      <c r="A101" s="33" t="s">
        <v>352</v>
      </c>
      <c r="B101" s="10" t="s">
        <v>450</v>
      </c>
      <c r="C101" s="9" t="s">
        <v>23</v>
      </c>
      <c r="D101" s="164">
        <v>19.25</v>
      </c>
      <c r="E101" s="13">
        <v>157.1</v>
      </c>
      <c r="G101" s="95">
        <v>3023.77</v>
      </c>
      <c r="H101" s="69"/>
      <c r="I101" s="152"/>
      <c r="J101" s="69"/>
      <c r="K101" s="68"/>
      <c r="L101" s="194"/>
    </row>
    <row r="102" spans="1:12" x14ac:dyDescent="0.25">
      <c r="A102" s="32" t="s">
        <v>353</v>
      </c>
      <c r="B102" s="8" t="s">
        <v>215</v>
      </c>
      <c r="C102" s="9"/>
      <c r="D102" s="164"/>
      <c r="E102" s="13"/>
      <c r="G102" s="109"/>
      <c r="H102" s="143">
        <f>G103+G105+G119</f>
        <v>3619626.21</v>
      </c>
      <c r="I102" s="145">
        <f>H102/$K$87</f>
        <v>0.67055356389394194</v>
      </c>
      <c r="J102" s="69"/>
      <c r="K102" s="68"/>
      <c r="L102" s="194"/>
    </row>
    <row r="103" spans="1:12" x14ac:dyDescent="0.25">
      <c r="A103" s="32" t="s">
        <v>354</v>
      </c>
      <c r="B103" s="8" t="s">
        <v>217</v>
      </c>
      <c r="C103" s="9"/>
      <c r="D103" s="164"/>
      <c r="E103" s="13"/>
      <c r="G103" s="109">
        <f>G104</f>
        <v>177340.94</v>
      </c>
      <c r="H103" s="69"/>
      <c r="I103" s="152"/>
      <c r="J103" s="69"/>
      <c r="K103" s="68"/>
      <c r="L103" s="194"/>
    </row>
    <row r="104" spans="1:12" ht="25.5" x14ac:dyDescent="0.25">
      <c r="A104" s="33" t="s">
        <v>355</v>
      </c>
      <c r="B104" s="10" t="s">
        <v>219</v>
      </c>
      <c r="C104" s="9" t="s">
        <v>26</v>
      </c>
      <c r="D104" s="164">
        <v>227.04</v>
      </c>
      <c r="E104" s="13">
        <v>781.1</v>
      </c>
      <c r="G104" s="95">
        <v>177340.94</v>
      </c>
      <c r="H104" s="69"/>
      <c r="I104" s="152"/>
      <c r="J104" s="69"/>
      <c r="K104" s="68"/>
      <c r="L104" s="194"/>
    </row>
    <row r="105" spans="1:12" x14ac:dyDescent="0.25">
      <c r="A105" s="32" t="s">
        <v>356</v>
      </c>
      <c r="B105" s="8" t="s">
        <v>221</v>
      </c>
      <c r="C105" s="9"/>
      <c r="D105" s="164"/>
      <c r="E105" s="13"/>
      <c r="G105" s="109">
        <f>SUM(G106:G118)</f>
        <v>911094.95</v>
      </c>
      <c r="H105" s="69"/>
      <c r="I105" s="152"/>
      <c r="J105" s="69"/>
      <c r="K105" s="68"/>
      <c r="L105" s="194"/>
    </row>
    <row r="106" spans="1:12" ht="25.5" x14ac:dyDescent="0.25">
      <c r="A106" s="33" t="s">
        <v>357</v>
      </c>
      <c r="B106" s="10" t="s">
        <v>223</v>
      </c>
      <c r="C106" s="9" t="s">
        <v>26</v>
      </c>
      <c r="D106" s="164">
        <v>74.900000000000006</v>
      </c>
      <c r="E106" s="13">
        <v>89.09</v>
      </c>
      <c r="G106" s="95">
        <v>6672.84</v>
      </c>
      <c r="H106" s="69"/>
      <c r="I106" s="152"/>
      <c r="J106" s="69"/>
      <c r="K106" s="68"/>
      <c r="L106" s="194"/>
    </row>
    <row r="107" spans="1:12" x14ac:dyDescent="0.25">
      <c r="A107" s="33" t="s">
        <v>358</v>
      </c>
      <c r="B107" s="10" t="s">
        <v>225</v>
      </c>
      <c r="C107" s="9" t="s">
        <v>20</v>
      </c>
      <c r="D107" s="164">
        <v>37.450000000000003</v>
      </c>
      <c r="E107" s="13">
        <v>39.33</v>
      </c>
      <c r="G107" s="95">
        <v>1472.91</v>
      </c>
      <c r="H107" s="69"/>
      <c r="I107" s="152"/>
      <c r="J107" s="69"/>
      <c r="K107" s="68"/>
      <c r="L107" s="194"/>
    </row>
    <row r="108" spans="1:12" ht="25.5" x14ac:dyDescent="0.25">
      <c r="A108" s="33" t="s">
        <v>359</v>
      </c>
      <c r="B108" s="10" t="s">
        <v>65</v>
      </c>
      <c r="C108" s="9" t="s">
        <v>42</v>
      </c>
      <c r="D108" s="164">
        <v>4494</v>
      </c>
      <c r="E108" s="13">
        <v>11.15</v>
      </c>
      <c r="G108" s="95">
        <v>50108.1</v>
      </c>
      <c r="H108" s="69"/>
      <c r="I108" s="152"/>
      <c r="J108" s="69"/>
      <c r="K108" s="68"/>
      <c r="L108" s="194"/>
    </row>
    <row r="109" spans="1:12" x14ac:dyDescent="0.25">
      <c r="A109" s="33" t="s">
        <v>360</v>
      </c>
      <c r="B109" s="10" t="s">
        <v>228</v>
      </c>
      <c r="C109" s="9" t="s">
        <v>26</v>
      </c>
      <c r="D109" s="164">
        <v>74.900000000000006</v>
      </c>
      <c r="E109" s="13">
        <v>875.73</v>
      </c>
      <c r="G109" s="95">
        <v>65592.179999999993</v>
      </c>
      <c r="H109" s="69"/>
      <c r="I109" s="152"/>
      <c r="J109" s="69"/>
      <c r="K109" s="68"/>
      <c r="L109" s="194"/>
    </row>
    <row r="110" spans="1:12" ht="25.5" x14ac:dyDescent="0.25">
      <c r="A110" s="33" t="s">
        <v>361</v>
      </c>
      <c r="B110" s="10" t="s">
        <v>230</v>
      </c>
      <c r="C110" s="9" t="s">
        <v>20</v>
      </c>
      <c r="D110" s="164">
        <v>258.41000000000003</v>
      </c>
      <c r="E110" s="13">
        <v>151.13</v>
      </c>
      <c r="G110" s="95">
        <v>39052.75</v>
      </c>
      <c r="H110" s="69"/>
      <c r="I110" s="152"/>
      <c r="J110" s="69"/>
      <c r="K110" s="68"/>
      <c r="L110" s="194"/>
    </row>
    <row r="111" spans="1:12" x14ac:dyDescent="0.25">
      <c r="A111" s="33" t="s">
        <v>362</v>
      </c>
      <c r="B111" s="10" t="s">
        <v>232</v>
      </c>
      <c r="C111" s="9" t="s">
        <v>20</v>
      </c>
      <c r="D111" s="164">
        <v>179.76</v>
      </c>
      <c r="E111" s="13">
        <v>51.45</v>
      </c>
      <c r="G111" s="95">
        <v>9248.65</v>
      </c>
      <c r="H111" s="69"/>
      <c r="I111" s="152"/>
      <c r="J111" s="69"/>
      <c r="K111" s="68"/>
      <c r="L111" s="194"/>
    </row>
    <row r="112" spans="1:12" x14ac:dyDescent="0.25">
      <c r="A112" s="33" t="s">
        <v>363</v>
      </c>
      <c r="B112" s="10" t="s">
        <v>234</v>
      </c>
      <c r="C112" s="9" t="s">
        <v>20</v>
      </c>
      <c r="D112" s="164">
        <v>617.92999999999995</v>
      </c>
      <c r="E112" s="13">
        <v>56.18</v>
      </c>
      <c r="G112" s="95">
        <v>34715.03</v>
      </c>
      <c r="H112" s="69"/>
      <c r="I112" s="152"/>
      <c r="J112" s="69"/>
      <c r="K112" s="68"/>
      <c r="L112" s="194"/>
    </row>
    <row r="113" spans="1:12" ht="25.5" x14ac:dyDescent="0.25">
      <c r="A113" s="33" t="s">
        <v>364</v>
      </c>
      <c r="B113" s="10" t="s">
        <v>236</v>
      </c>
      <c r="C113" s="9" t="s">
        <v>42</v>
      </c>
      <c r="D113" s="164">
        <v>9407.44</v>
      </c>
      <c r="E113" s="13">
        <v>14.93</v>
      </c>
      <c r="G113" s="95">
        <v>140453.07999999999</v>
      </c>
      <c r="H113" s="69"/>
      <c r="I113" s="152"/>
      <c r="J113" s="69"/>
      <c r="K113" s="68"/>
      <c r="L113" s="194"/>
    </row>
    <row r="114" spans="1:12" ht="25.5" x14ac:dyDescent="0.25">
      <c r="A114" s="33" t="s">
        <v>365</v>
      </c>
      <c r="B114" s="10" t="s">
        <v>238</v>
      </c>
      <c r="C114" s="9" t="s">
        <v>42</v>
      </c>
      <c r="D114" s="164">
        <v>8231.51</v>
      </c>
      <c r="E114" s="13">
        <v>14.32</v>
      </c>
      <c r="G114" s="95">
        <v>117875.22</v>
      </c>
      <c r="H114" s="69"/>
      <c r="I114" s="152"/>
      <c r="J114" s="69"/>
      <c r="K114" s="68"/>
      <c r="L114" s="194"/>
    </row>
    <row r="115" spans="1:12" ht="25.5" x14ac:dyDescent="0.25">
      <c r="A115" s="33" t="s">
        <v>366</v>
      </c>
      <c r="B115" s="10" t="s">
        <v>240</v>
      </c>
      <c r="C115" s="9" t="s">
        <v>42</v>
      </c>
      <c r="D115" s="164">
        <v>5879.65</v>
      </c>
      <c r="E115" s="13">
        <v>10.039999999999999</v>
      </c>
      <c r="G115" s="95">
        <v>59031.69</v>
      </c>
      <c r="H115" s="69"/>
      <c r="I115" s="152"/>
      <c r="J115" s="69"/>
      <c r="K115" s="68"/>
      <c r="L115" s="194"/>
    </row>
    <row r="116" spans="1:12" ht="25.5" x14ac:dyDescent="0.25">
      <c r="A116" s="33" t="s">
        <v>367</v>
      </c>
      <c r="B116" s="10" t="s">
        <v>242</v>
      </c>
      <c r="C116" s="9" t="s">
        <v>26</v>
      </c>
      <c r="D116" s="164">
        <v>14.98</v>
      </c>
      <c r="E116" s="13">
        <v>805.4</v>
      </c>
      <c r="G116" s="95">
        <v>12064.89</v>
      </c>
      <c r="H116" s="69"/>
      <c r="I116" s="152"/>
      <c r="J116" s="69"/>
      <c r="K116" s="68"/>
      <c r="L116" s="194"/>
    </row>
    <row r="117" spans="1:12" ht="25.5" x14ac:dyDescent="0.25">
      <c r="A117" s="33" t="s">
        <v>368</v>
      </c>
      <c r="B117" s="10" t="s">
        <v>244</v>
      </c>
      <c r="C117" s="9" t="s">
        <v>26</v>
      </c>
      <c r="D117" s="164">
        <v>348.29</v>
      </c>
      <c r="E117" s="13">
        <v>641.98</v>
      </c>
      <c r="G117" s="95">
        <v>223592</v>
      </c>
      <c r="H117" s="69"/>
      <c r="I117" s="152"/>
      <c r="J117" s="69"/>
      <c r="K117" s="68"/>
      <c r="L117" s="194"/>
    </row>
    <row r="118" spans="1:12" x14ac:dyDescent="0.25">
      <c r="A118" s="33" t="s">
        <v>369</v>
      </c>
      <c r="B118" s="10" t="s">
        <v>246</v>
      </c>
      <c r="C118" s="9" t="s">
        <v>57</v>
      </c>
      <c r="D118" s="164">
        <v>749</v>
      </c>
      <c r="E118" s="13">
        <v>201.89</v>
      </c>
      <c r="G118" s="95">
        <v>151215.60999999999</v>
      </c>
      <c r="H118" s="69"/>
      <c r="I118" s="152"/>
      <c r="J118" s="69"/>
      <c r="K118" s="68"/>
      <c r="L118" s="194"/>
    </row>
    <row r="119" spans="1:12" x14ac:dyDescent="0.25">
      <c r="A119" s="32" t="s">
        <v>370</v>
      </c>
      <c r="B119" s="8" t="s">
        <v>248</v>
      </c>
      <c r="C119" s="9"/>
      <c r="D119" s="164"/>
      <c r="E119" s="13"/>
      <c r="G119" s="109">
        <f>G120+G121</f>
        <v>2531190.3199999998</v>
      </c>
      <c r="H119" s="69"/>
      <c r="I119" s="152"/>
      <c r="J119" s="69"/>
      <c r="K119" s="68"/>
      <c r="L119" s="194"/>
    </row>
    <row r="120" spans="1:12" ht="25.5" x14ac:dyDescent="0.25">
      <c r="A120" s="33" t="s">
        <v>371</v>
      </c>
      <c r="B120" s="10" t="s">
        <v>250</v>
      </c>
      <c r="C120" s="9" t="s">
        <v>26</v>
      </c>
      <c r="D120" s="164">
        <v>584</v>
      </c>
      <c r="E120" s="13">
        <v>3911.67</v>
      </c>
      <c r="G120" s="95">
        <v>2284415.2799999998</v>
      </c>
      <c r="H120" s="69"/>
      <c r="I120" s="152"/>
      <c r="J120" s="69"/>
      <c r="K120" s="68"/>
      <c r="L120" s="194"/>
    </row>
    <row r="121" spans="1:12" x14ac:dyDescent="0.25">
      <c r="A121" s="33" t="s">
        <v>372</v>
      </c>
      <c r="B121" s="10" t="s">
        <v>252</v>
      </c>
      <c r="C121" s="9" t="s">
        <v>57</v>
      </c>
      <c r="D121" s="164">
        <v>2336</v>
      </c>
      <c r="E121" s="13">
        <v>105.64</v>
      </c>
      <c r="G121" s="95">
        <v>246775.04000000001</v>
      </c>
      <c r="H121" s="69"/>
      <c r="I121" s="152"/>
      <c r="J121" s="69"/>
      <c r="K121" s="68"/>
      <c r="L121" s="194"/>
    </row>
    <row r="122" spans="1:12" x14ac:dyDescent="0.25">
      <c r="A122" s="32" t="s">
        <v>373</v>
      </c>
      <c r="B122" s="8" t="s">
        <v>254</v>
      </c>
      <c r="C122" s="9"/>
      <c r="D122" s="164"/>
      <c r="E122" s="13"/>
      <c r="G122" s="109"/>
      <c r="H122" s="143">
        <f>G123+G125</f>
        <v>283051.52000000002</v>
      </c>
      <c r="I122" s="145">
        <f>H122/$K$87</f>
        <v>5.2436686688042682E-2</v>
      </c>
      <c r="J122" s="69"/>
      <c r="K122" s="68"/>
      <c r="L122" s="194"/>
    </row>
    <row r="123" spans="1:12" x14ac:dyDescent="0.25">
      <c r="A123" s="32" t="s">
        <v>374</v>
      </c>
      <c r="B123" s="8" t="s">
        <v>256</v>
      </c>
      <c r="C123" s="9"/>
      <c r="D123" s="164"/>
      <c r="E123" s="13"/>
      <c r="G123" s="109">
        <f>G124</f>
        <v>45939.92</v>
      </c>
      <c r="H123" s="69"/>
      <c r="I123" s="152"/>
      <c r="J123" s="69"/>
      <c r="K123" s="68"/>
      <c r="L123" s="194"/>
    </row>
    <row r="124" spans="1:12" ht="25.5" x14ac:dyDescent="0.25">
      <c r="A124" s="33" t="s">
        <v>375</v>
      </c>
      <c r="B124" s="10" t="s">
        <v>258</v>
      </c>
      <c r="C124" s="9" t="s">
        <v>57</v>
      </c>
      <c r="D124" s="164">
        <v>652</v>
      </c>
      <c r="E124" s="13">
        <v>70.459999999999994</v>
      </c>
      <c r="G124" s="95">
        <v>45939.92</v>
      </c>
      <c r="H124" s="69"/>
      <c r="I124" s="152"/>
      <c r="J124" s="69"/>
      <c r="K124" s="68"/>
      <c r="L124" s="194"/>
    </row>
    <row r="125" spans="1:12" x14ac:dyDescent="0.25">
      <c r="A125" s="32" t="s">
        <v>393</v>
      </c>
      <c r="B125" s="8" t="s">
        <v>578</v>
      </c>
      <c r="C125" s="9"/>
      <c r="D125" s="164"/>
      <c r="E125" s="13"/>
      <c r="G125" s="109">
        <f>G126</f>
        <v>237111.6</v>
      </c>
      <c r="H125" s="69"/>
      <c r="I125" s="152"/>
      <c r="J125" s="69"/>
      <c r="K125" s="68"/>
      <c r="L125" s="194"/>
    </row>
    <row r="126" spans="1:12" ht="25.5" x14ac:dyDescent="0.25">
      <c r="A126" s="33" t="s">
        <v>394</v>
      </c>
      <c r="B126" s="10" t="s">
        <v>579</v>
      </c>
      <c r="C126" s="9" t="s">
        <v>57</v>
      </c>
      <c r="D126" s="164">
        <v>852</v>
      </c>
      <c r="E126" s="13">
        <v>278.3</v>
      </c>
      <c r="G126" s="95">
        <v>237111.6</v>
      </c>
      <c r="H126" s="69"/>
      <c r="I126" s="152"/>
      <c r="J126" s="69"/>
      <c r="K126" s="68"/>
      <c r="L126" s="194"/>
    </row>
    <row r="127" spans="1:12" x14ac:dyDescent="0.25">
      <c r="A127" s="32" t="s">
        <v>376</v>
      </c>
      <c r="B127" s="8" t="s">
        <v>260</v>
      </c>
      <c r="C127" s="9"/>
      <c r="D127" s="164"/>
      <c r="E127" s="13"/>
      <c r="G127" s="109"/>
      <c r="H127" s="143">
        <f>G128+G130</f>
        <v>38988</v>
      </c>
      <c r="I127" s="145">
        <f>H127/$K$87</f>
        <v>7.2227188202112743E-3</v>
      </c>
      <c r="J127" s="69"/>
      <c r="K127" s="68"/>
      <c r="L127" s="194"/>
    </row>
    <row r="128" spans="1:12" x14ac:dyDescent="0.25">
      <c r="A128" s="32" t="s">
        <v>377</v>
      </c>
      <c r="B128" s="8" t="s">
        <v>262</v>
      </c>
      <c r="C128" s="9"/>
      <c r="D128" s="164"/>
      <c r="E128" s="13"/>
      <c r="G128" s="109">
        <f>G129</f>
        <v>23500</v>
      </c>
      <c r="H128" s="69"/>
      <c r="I128" s="152"/>
      <c r="J128" s="69"/>
      <c r="K128" s="68"/>
      <c r="L128" s="194"/>
    </row>
    <row r="129" spans="1:12" x14ac:dyDescent="0.25">
      <c r="A129" s="33" t="s">
        <v>378</v>
      </c>
      <c r="B129" s="10" t="s">
        <v>264</v>
      </c>
      <c r="C129" s="9" t="s">
        <v>23</v>
      </c>
      <c r="D129" s="164">
        <v>47</v>
      </c>
      <c r="E129" s="13">
        <v>500</v>
      </c>
      <c r="G129" s="95">
        <v>23500</v>
      </c>
      <c r="H129" s="69"/>
      <c r="I129" s="152"/>
      <c r="J129" s="69"/>
      <c r="K129" s="68"/>
      <c r="L129" s="194"/>
    </row>
    <row r="130" spans="1:12" x14ac:dyDescent="0.25">
      <c r="A130" s="32" t="s">
        <v>379</v>
      </c>
      <c r="B130" s="8" t="s">
        <v>266</v>
      </c>
      <c r="C130" s="9"/>
      <c r="D130" s="164"/>
      <c r="E130" s="13"/>
      <c r="G130" s="109">
        <f>G131</f>
        <v>15488</v>
      </c>
      <c r="H130" s="69"/>
      <c r="I130" s="152"/>
      <c r="J130" s="69"/>
      <c r="K130" s="68"/>
      <c r="L130" s="194"/>
    </row>
    <row r="131" spans="1:12" ht="13.5" thickBot="1" x14ac:dyDescent="0.3">
      <c r="A131" s="34" t="s">
        <v>380</v>
      </c>
      <c r="B131" s="35" t="s">
        <v>268</v>
      </c>
      <c r="C131" s="36" t="s">
        <v>23</v>
      </c>
      <c r="D131" s="168">
        <v>11</v>
      </c>
      <c r="E131" s="37">
        <v>1408</v>
      </c>
      <c r="F131" s="157"/>
      <c r="G131" s="96">
        <v>15488</v>
      </c>
      <c r="H131" s="203"/>
      <c r="I131" s="196"/>
      <c r="J131" s="203"/>
      <c r="K131" s="78"/>
      <c r="L131" s="198"/>
    </row>
    <row r="133" spans="1:12" s="7" customFormat="1" ht="15" x14ac:dyDescent="0.25">
      <c r="A133" s="11"/>
      <c r="B133" s="98" t="s">
        <v>271</v>
      </c>
      <c r="C133" s="9"/>
      <c r="D133" s="99"/>
      <c r="E133" s="95"/>
      <c r="G133" s="277">
        <f>SUM(K5:K85)</f>
        <v>3934291.6214999999</v>
      </c>
      <c r="H133" s="277"/>
      <c r="I133" s="277"/>
      <c r="J133" s="277"/>
      <c r="K133" s="277"/>
      <c r="L133" s="163">
        <v>1</v>
      </c>
    </row>
    <row r="134" spans="1:12" s="7" customFormat="1" ht="15" x14ac:dyDescent="0.25">
      <c r="A134" s="18"/>
      <c r="B134" s="98" t="s">
        <v>272</v>
      </c>
      <c r="C134" s="18"/>
      <c r="D134" s="144"/>
      <c r="E134" s="132"/>
      <c r="G134" s="277">
        <f>K87</f>
        <v>5397967.2988099996</v>
      </c>
      <c r="H134" s="277"/>
      <c r="I134" s="277"/>
      <c r="J134" s="277"/>
      <c r="K134" s="277"/>
      <c r="L134" s="163">
        <v>1</v>
      </c>
    </row>
    <row r="135" spans="1:12" s="7" customFormat="1" ht="15" x14ac:dyDescent="0.25">
      <c r="A135" s="18"/>
      <c r="B135" s="98" t="s">
        <v>270</v>
      </c>
      <c r="C135" s="18"/>
      <c r="D135" s="144"/>
      <c r="E135" s="132"/>
      <c r="G135" s="277">
        <f>G133+G134</f>
        <v>9332258.92031</v>
      </c>
      <c r="H135" s="277"/>
      <c r="I135" s="277"/>
      <c r="J135" s="277"/>
      <c r="K135" s="277"/>
      <c r="L135" s="126"/>
    </row>
  </sheetData>
  <mergeCells count="5">
    <mergeCell ref="G3:L3"/>
    <mergeCell ref="G4:H4"/>
    <mergeCell ref="G133:K133"/>
    <mergeCell ref="G134:K134"/>
    <mergeCell ref="G135:K135"/>
  </mergeCells>
  <pageMargins left="0.511811024" right="0.511811024" top="0.78740157499999996" bottom="0.78740157499999996" header="0.31496062000000002" footer="0.31496062000000002"/>
  <pageSetup paperSize="8" scale="79" fitToHeight="0" orientation="landscape" horizontalDpi="1200" verticalDpi="1200" r:id="rId1"/>
  <ignoredErrors>
    <ignoredError sqref="I12 I17 I33 I28 I65 I60"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0FD9-35A2-42E6-B420-63643E28ED44}">
  <sheetPr>
    <pageSetUpPr fitToPage="1"/>
  </sheetPr>
  <dimension ref="A1:L255"/>
  <sheetViews>
    <sheetView workbookViewId="0">
      <pane ySplit="4" topLeftCell="A206" activePane="bottomLeft" state="frozen"/>
      <selection pane="bottomLeft" activeCell="E259" sqref="E259"/>
    </sheetView>
  </sheetViews>
  <sheetFormatPr defaultColWidth="9.140625" defaultRowHeight="12.75" x14ac:dyDescent="0.25"/>
  <cols>
    <col min="1" max="1" width="18.7109375" style="63" customWidth="1"/>
    <col min="2" max="2" width="146.85546875" style="41" customWidth="1"/>
    <col min="3" max="3" width="6.7109375" style="42" customWidth="1"/>
    <col min="4" max="4" width="10.7109375" style="87" customWidth="1"/>
    <col min="5" max="5" width="16.7109375" style="80" customWidth="1"/>
    <col min="6" max="6" width="1.85546875" style="62" customWidth="1"/>
    <col min="7" max="7" width="16.5703125" style="103" bestFit="1" customWidth="1"/>
    <col min="8" max="8" width="17.5703125" style="62" customWidth="1"/>
    <col min="9" max="9" width="20" style="42" customWidth="1"/>
    <col min="10" max="10" width="0.5703125" style="62" customWidth="1"/>
    <col min="11" max="11" width="17.85546875" style="62" customWidth="1"/>
    <col min="12" max="12" width="9.140625" style="42"/>
    <col min="13" max="16384" width="9.140625" style="62"/>
  </cols>
  <sheetData>
    <row r="1" spans="1:12" x14ac:dyDescent="0.25">
      <c r="A1" s="59" t="s">
        <v>4</v>
      </c>
    </row>
    <row r="3" spans="1:12" x14ac:dyDescent="0.25">
      <c r="A3" s="59" t="s">
        <v>763</v>
      </c>
      <c r="G3" s="294" t="s">
        <v>11</v>
      </c>
      <c r="H3" s="294"/>
      <c r="I3" s="294"/>
      <c r="J3" s="294"/>
      <c r="K3" s="294"/>
      <c r="L3" s="294"/>
    </row>
    <row r="4" spans="1:12" ht="13.5" thickBot="1" x14ac:dyDescent="0.3">
      <c r="A4" s="46" t="s">
        <v>6</v>
      </c>
      <c r="B4" s="47" t="s">
        <v>7</v>
      </c>
      <c r="C4" s="46" t="s">
        <v>8</v>
      </c>
      <c r="D4" s="48" t="s">
        <v>9</v>
      </c>
      <c r="E4" s="178" t="s">
        <v>10</v>
      </c>
      <c r="G4" s="295" t="s">
        <v>273</v>
      </c>
      <c r="H4" s="296"/>
      <c r="I4" s="104" t="s">
        <v>275</v>
      </c>
      <c r="J4" s="141"/>
      <c r="K4" s="93" t="s">
        <v>274</v>
      </c>
      <c r="L4" s="104" t="s">
        <v>12</v>
      </c>
    </row>
    <row r="5" spans="1:12" x14ac:dyDescent="0.25">
      <c r="A5" s="25">
        <v>1</v>
      </c>
      <c r="B5" s="26" t="s">
        <v>396</v>
      </c>
      <c r="C5" s="27"/>
      <c r="D5" s="172"/>
      <c r="E5" s="207"/>
      <c r="F5" s="156"/>
      <c r="G5" s="120"/>
      <c r="H5" s="204"/>
      <c r="I5" s="193"/>
      <c r="J5" s="204"/>
      <c r="K5" s="73">
        <f>SUM(H5:H17)</f>
        <v>264588.04000000004</v>
      </c>
      <c r="L5" s="160">
        <f>K5/$G$253</f>
        <v>4.920288485946115E-2</v>
      </c>
    </row>
    <row r="6" spans="1:12" x14ac:dyDescent="0.25">
      <c r="A6" s="32" t="s">
        <v>14</v>
      </c>
      <c r="B6" s="8" t="s">
        <v>15</v>
      </c>
      <c r="C6" s="9"/>
      <c r="D6" s="164"/>
      <c r="E6" s="205"/>
      <c r="G6" s="126"/>
      <c r="H6" s="143">
        <f>G7</f>
        <v>9190.64</v>
      </c>
      <c r="I6" s="145">
        <f>H6/$K$5</f>
        <v>3.4735659253532392E-2</v>
      </c>
      <c r="J6" s="69"/>
      <c r="K6" s="68"/>
      <c r="L6" s="194"/>
    </row>
    <row r="7" spans="1:12" x14ac:dyDescent="0.25">
      <c r="A7" s="32" t="s">
        <v>16</v>
      </c>
      <c r="B7" s="8" t="s">
        <v>17</v>
      </c>
      <c r="C7" s="9"/>
      <c r="D7" s="164"/>
      <c r="E7" s="205"/>
      <c r="G7" s="126">
        <f>SUM(G8:G11)</f>
        <v>9190.64</v>
      </c>
      <c r="H7" s="69"/>
      <c r="I7" s="146">
        <f>G7/$K$5</f>
        <v>3.4735659253532392E-2</v>
      </c>
      <c r="J7" s="69"/>
      <c r="K7" s="68"/>
      <c r="L7" s="194"/>
    </row>
    <row r="8" spans="1:12" x14ac:dyDescent="0.25">
      <c r="A8" s="33" t="s">
        <v>18</v>
      </c>
      <c r="B8" s="10" t="s">
        <v>19</v>
      </c>
      <c r="C8" s="9" t="s">
        <v>20</v>
      </c>
      <c r="D8" s="164">
        <v>335</v>
      </c>
      <c r="E8" s="205">
        <v>4.38</v>
      </c>
      <c r="G8" s="175">
        <v>1467.3</v>
      </c>
      <c r="H8" s="69"/>
      <c r="I8" s="146">
        <f t="shared" ref="I8:I11" si="0">G8/$K$5</f>
        <v>5.5456021368161601E-3</v>
      </c>
      <c r="J8" s="69"/>
      <c r="K8" s="68"/>
      <c r="L8" s="194"/>
    </row>
    <row r="9" spans="1:12" x14ac:dyDescent="0.25">
      <c r="A9" s="33" t="s">
        <v>21</v>
      </c>
      <c r="B9" s="10" t="s">
        <v>22</v>
      </c>
      <c r="C9" s="9" t="s">
        <v>23</v>
      </c>
      <c r="D9" s="164">
        <v>8.3800000000000008</v>
      </c>
      <c r="E9" s="205">
        <v>217.25</v>
      </c>
      <c r="G9" s="175">
        <v>1819.47</v>
      </c>
      <c r="H9" s="69"/>
      <c r="I9" s="146">
        <f t="shared" si="0"/>
        <v>6.8766146799379129E-3</v>
      </c>
      <c r="J9" s="69"/>
      <c r="K9" s="68"/>
      <c r="L9" s="194"/>
    </row>
    <row r="10" spans="1:12" x14ac:dyDescent="0.25">
      <c r="A10" s="33" t="s">
        <v>24</v>
      </c>
      <c r="B10" s="10" t="s">
        <v>25</v>
      </c>
      <c r="C10" s="9" t="s">
        <v>26</v>
      </c>
      <c r="D10" s="164">
        <v>100.5</v>
      </c>
      <c r="E10" s="205">
        <v>17.54</v>
      </c>
      <c r="G10" s="175">
        <v>1762.77</v>
      </c>
      <c r="H10" s="69"/>
      <c r="I10" s="146">
        <f t="shared" si="0"/>
        <v>6.6623192794353055E-3</v>
      </c>
      <c r="J10" s="69"/>
      <c r="K10" s="68"/>
      <c r="L10" s="194"/>
    </row>
    <row r="11" spans="1:12" x14ac:dyDescent="0.25">
      <c r="A11" s="33" t="s">
        <v>27</v>
      </c>
      <c r="B11" s="10" t="s">
        <v>28</v>
      </c>
      <c r="C11" s="9" t="s">
        <v>29</v>
      </c>
      <c r="D11" s="164">
        <v>2020.05</v>
      </c>
      <c r="E11" s="205">
        <v>2.0499999999999998</v>
      </c>
      <c r="G11" s="175">
        <v>4141.1000000000004</v>
      </c>
      <c r="H11" s="69"/>
      <c r="I11" s="146">
        <f t="shared" si="0"/>
        <v>1.5651123157343013E-2</v>
      </c>
      <c r="J11" s="69"/>
      <c r="K11" s="68"/>
      <c r="L11" s="194"/>
    </row>
    <row r="12" spans="1:12" x14ac:dyDescent="0.25">
      <c r="A12" s="32" t="s">
        <v>30</v>
      </c>
      <c r="B12" s="8" t="s">
        <v>31</v>
      </c>
      <c r="C12" s="9"/>
      <c r="D12" s="164"/>
      <c r="E12" s="205"/>
      <c r="G12" s="126"/>
      <c r="H12" s="143">
        <f>G13</f>
        <v>252831.2</v>
      </c>
      <c r="I12" s="145">
        <f t="shared" ref="I12:I15" si="1">H12/$K$5</f>
        <v>0.95556548965705324</v>
      </c>
      <c r="J12" s="69"/>
      <c r="K12" s="68"/>
      <c r="L12" s="194"/>
    </row>
    <row r="13" spans="1:12" x14ac:dyDescent="0.25">
      <c r="A13" s="32" t="s">
        <v>32</v>
      </c>
      <c r="B13" s="8" t="s">
        <v>33</v>
      </c>
      <c r="C13" s="9"/>
      <c r="D13" s="164"/>
      <c r="E13" s="205"/>
      <c r="G13" s="126">
        <f>G14</f>
        <v>252831.2</v>
      </c>
      <c r="H13" s="69"/>
      <c r="I13" s="146">
        <f>G13/$K$5</f>
        <v>0.95556548965705324</v>
      </c>
      <c r="J13" s="69"/>
      <c r="K13" s="68"/>
      <c r="L13" s="194"/>
    </row>
    <row r="14" spans="1:12" ht="25.5" x14ac:dyDescent="0.25">
      <c r="A14" s="33" t="s">
        <v>34</v>
      </c>
      <c r="B14" s="10" t="s">
        <v>35</v>
      </c>
      <c r="C14" s="9" t="s">
        <v>20</v>
      </c>
      <c r="D14" s="164">
        <v>335</v>
      </c>
      <c r="E14" s="205">
        <v>754.72</v>
      </c>
      <c r="G14" s="175">
        <v>252831.2</v>
      </c>
      <c r="H14" s="69"/>
      <c r="I14" s="146">
        <f>G14/$K$5</f>
        <v>0.95556548965705324</v>
      </c>
      <c r="J14" s="69"/>
      <c r="K14" s="68"/>
      <c r="L14" s="194"/>
    </row>
    <row r="15" spans="1:12" x14ac:dyDescent="0.25">
      <c r="A15" s="32" t="s">
        <v>68</v>
      </c>
      <c r="B15" s="8" t="s">
        <v>69</v>
      </c>
      <c r="C15" s="9"/>
      <c r="D15" s="164"/>
      <c r="E15" s="205"/>
      <c r="G15" s="126"/>
      <c r="H15" s="143">
        <f>G16</f>
        <v>2566.1999999999998</v>
      </c>
      <c r="I15" s="145">
        <f t="shared" si="1"/>
        <v>9.6988510894143194E-3</v>
      </c>
      <c r="J15" s="69"/>
      <c r="K15" s="68"/>
      <c r="L15" s="194"/>
    </row>
    <row r="16" spans="1:12" x14ac:dyDescent="0.25">
      <c r="A16" s="32" t="s">
        <v>70</v>
      </c>
      <c r="B16" s="8" t="s">
        <v>71</v>
      </c>
      <c r="C16" s="9"/>
      <c r="D16" s="164"/>
      <c r="E16" s="205"/>
      <c r="G16" s="126">
        <f>G17</f>
        <v>2566.1999999999998</v>
      </c>
      <c r="H16" s="69"/>
      <c r="I16" s="146">
        <f>G16/$K$5</f>
        <v>9.6988510894143194E-3</v>
      </c>
      <c r="J16" s="69"/>
      <c r="K16" s="68"/>
      <c r="L16" s="194"/>
    </row>
    <row r="17" spans="1:12" x14ac:dyDescent="0.25">
      <c r="A17" s="33" t="s">
        <v>72</v>
      </c>
      <c r="B17" s="10" t="s">
        <v>73</v>
      </c>
      <c r="C17" s="9" t="s">
        <v>57</v>
      </c>
      <c r="D17" s="164">
        <v>84</v>
      </c>
      <c r="E17" s="205">
        <v>30.55</v>
      </c>
      <c r="G17" s="175">
        <v>2566.1999999999998</v>
      </c>
      <c r="H17" s="69"/>
      <c r="I17" s="146">
        <f>G17/$K$5</f>
        <v>9.6988510894143194E-3</v>
      </c>
      <c r="J17" s="69"/>
      <c r="K17" s="68"/>
      <c r="L17" s="194"/>
    </row>
    <row r="18" spans="1:12" x14ac:dyDescent="0.25">
      <c r="A18" s="33"/>
      <c r="B18" s="10"/>
      <c r="C18" s="9"/>
      <c r="D18" s="164"/>
      <c r="E18" s="205"/>
      <c r="G18" s="175"/>
      <c r="H18" s="69"/>
      <c r="I18" s="152"/>
      <c r="J18" s="69"/>
      <c r="K18" s="68"/>
      <c r="L18" s="194"/>
    </row>
    <row r="19" spans="1:12" x14ac:dyDescent="0.25">
      <c r="A19" s="32">
        <v>2</v>
      </c>
      <c r="B19" s="8" t="s">
        <v>580</v>
      </c>
      <c r="C19" s="9"/>
      <c r="D19" s="164"/>
      <c r="E19" s="205"/>
      <c r="G19" s="126"/>
      <c r="H19" s="69"/>
      <c r="I19" s="152"/>
      <c r="J19" s="69"/>
      <c r="K19" s="68">
        <f>SUM(H19:H52)</f>
        <v>296480.31</v>
      </c>
      <c r="L19" s="169">
        <f>K19/$G$253</f>
        <v>5.5133582591364853E-2</v>
      </c>
    </row>
    <row r="20" spans="1:12" x14ac:dyDescent="0.25">
      <c r="A20" s="32" t="s">
        <v>79</v>
      </c>
      <c r="B20" s="8" t="s">
        <v>15</v>
      </c>
      <c r="C20" s="9"/>
      <c r="D20" s="164"/>
      <c r="E20" s="205"/>
      <c r="G20" s="126"/>
      <c r="H20" s="143">
        <f>G21</f>
        <v>10315.459999999999</v>
      </c>
      <c r="I20" s="145">
        <f>H20/$K$19</f>
        <v>3.4793069394726414E-2</v>
      </c>
      <c r="J20" s="69"/>
      <c r="K20" s="68"/>
      <c r="L20" s="194"/>
    </row>
    <row r="21" spans="1:12" x14ac:dyDescent="0.25">
      <c r="A21" s="32" t="s">
        <v>80</v>
      </c>
      <c r="B21" s="8" t="s">
        <v>17</v>
      </c>
      <c r="C21" s="9"/>
      <c r="D21" s="164"/>
      <c r="E21" s="205"/>
      <c r="G21" s="126">
        <f>SUM(G22:G25)</f>
        <v>10315.459999999999</v>
      </c>
      <c r="H21" s="69"/>
      <c r="I21" s="146">
        <f>G21/$K$19</f>
        <v>3.4793069394726414E-2</v>
      </c>
      <c r="J21" s="69"/>
      <c r="K21" s="68"/>
      <c r="L21" s="194"/>
    </row>
    <row r="22" spans="1:12" x14ac:dyDescent="0.25">
      <c r="A22" s="33" t="s">
        <v>81</v>
      </c>
      <c r="B22" s="10" t="s">
        <v>19</v>
      </c>
      <c r="C22" s="9" t="s">
        <v>20</v>
      </c>
      <c r="D22" s="164">
        <v>376</v>
      </c>
      <c r="E22" s="205">
        <v>4.38</v>
      </c>
      <c r="G22" s="175">
        <v>1646.88</v>
      </c>
      <c r="H22" s="69"/>
      <c r="I22" s="146">
        <f t="shared" ref="I22:I25" si="2">G22/$K$19</f>
        <v>5.5547702307785635E-3</v>
      </c>
      <c r="J22" s="69"/>
      <c r="K22" s="68"/>
      <c r="L22" s="194"/>
    </row>
    <row r="23" spans="1:12" x14ac:dyDescent="0.25">
      <c r="A23" s="33" t="s">
        <v>82</v>
      </c>
      <c r="B23" s="10" t="s">
        <v>22</v>
      </c>
      <c r="C23" s="9" t="s">
        <v>23</v>
      </c>
      <c r="D23" s="164">
        <v>9.4</v>
      </c>
      <c r="E23" s="205">
        <v>217.25</v>
      </c>
      <c r="G23" s="175">
        <v>2042.15</v>
      </c>
      <c r="H23" s="69"/>
      <c r="I23" s="146">
        <f t="shared" si="2"/>
        <v>6.8879784967844915E-3</v>
      </c>
      <c r="J23" s="69"/>
      <c r="K23" s="68"/>
      <c r="L23" s="194"/>
    </row>
    <row r="24" spans="1:12" x14ac:dyDescent="0.25">
      <c r="A24" s="33" t="s">
        <v>83</v>
      </c>
      <c r="B24" s="10" t="s">
        <v>25</v>
      </c>
      <c r="C24" s="9" t="s">
        <v>26</v>
      </c>
      <c r="D24" s="164">
        <v>112.8</v>
      </c>
      <c r="E24" s="205">
        <v>17.54</v>
      </c>
      <c r="G24" s="175">
        <v>1978.51</v>
      </c>
      <c r="H24" s="69"/>
      <c r="I24" s="146">
        <f t="shared" si="2"/>
        <v>6.673326805412474E-3</v>
      </c>
      <c r="J24" s="69"/>
      <c r="K24" s="68"/>
      <c r="L24" s="194"/>
    </row>
    <row r="25" spans="1:12" x14ac:dyDescent="0.25">
      <c r="A25" s="33" t="s">
        <v>84</v>
      </c>
      <c r="B25" s="10" t="s">
        <v>28</v>
      </c>
      <c r="C25" s="9" t="s">
        <v>29</v>
      </c>
      <c r="D25" s="164">
        <v>2267.2800000000002</v>
      </c>
      <c r="E25" s="205">
        <v>2.0499999999999998</v>
      </c>
      <c r="G25" s="175">
        <v>4647.92</v>
      </c>
      <c r="H25" s="69"/>
      <c r="I25" s="146">
        <f t="shared" si="2"/>
        <v>1.5676993861750886E-2</v>
      </c>
      <c r="J25" s="69"/>
      <c r="K25" s="68"/>
      <c r="L25" s="194"/>
    </row>
    <row r="26" spans="1:12" x14ac:dyDescent="0.25">
      <c r="A26" s="32" t="s">
        <v>85</v>
      </c>
      <c r="B26" s="8" t="s">
        <v>31</v>
      </c>
      <c r="C26" s="9"/>
      <c r="D26" s="164"/>
      <c r="E26" s="205"/>
      <c r="G26" s="126"/>
      <c r="H26" s="143">
        <f>G27+G29+G44</f>
        <v>279292.14999999997</v>
      </c>
      <c r="I26" s="145">
        <f t="shared" ref="I26:I48" si="3">H26/$K$19</f>
        <v>0.94202596455730891</v>
      </c>
      <c r="J26" s="69"/>
      <c r="K26" s="68"/>
      <c r="L26" s="194"/>
    </row>
    <row r="27" spans="1:12" x14ac:dyDescent="0.25">
      <c r="A27" s="32" t="s">
        <v>86</v>
      </c>
      <c r="B27" s="8" t="s">
        <v>33</v>
      </c>
      <c r="C27" s="9"/>
      <c r="D27" s="164"/>
      <c r="E27" s="205"/>
      <c r="G27" s="126">
        <v>46037.919999999998</v>
      </c>
      <c r="H27" s="69"/>
      <c r="I27" s="146">
        <f>G27/$K$19</f>
        <v>0.15528154298003802</v>
      </c>
      <c r="J27" s="69"/>
      <c r="K27" s="68"/>
      <c r="L27" s="194"/>
    </row>
    <row r="28" spans="1:12" ht="25.5" x14ac:dyDescent="0.25">
      <c r="A28" s="33" t="s">
        <v>87</v>
      </c>
      <c r="B28" s="10" t="s">
        <v>35</v>
      </c>
      <c r="C28" s="9" t="s">
        <v>20</v>
      </c>
      <c r="D28" s="164">
        <v>61</v>
      </c>
      <c r="E28" s="205">
        <v>754.72</v>
      </c>
      <c r="G28" s="175">
        <v>46037.919999999998</v>
      </c>
      <c r="H28" s="69"/>
      <c r="I28" s="146">
        <f t="shared" ref="I28:I47" si="4">G28/$K$19</f>
        <v>0.15528154298003802</v>
      </c>
      <c r="J28" s="69"/>
      <c r="K28" s="68"/>
      <c r="L28" s="194"/>
    </row>
    <row r="29" spans="1:12" x14ac:dyDescent="0.25">
      <c r="A29" s="32" t="s">
        <v>88</v>
      </c>
      <c r="B29" s="8" t="s">
        <v>37</v>
      </c>
      <c r="C29" s="9"/>
      <c r="D29" s="164"/>
      <c r="E29" s="205"/>
      <c r="G29" s="126">
        <f>SUM(G30:G43)</f>
        <v>199351.67999999999</v>
      </c>
      <c r="H29" s="69"/>
      <c r="I29" s="146">
        <f t="shared" si="4"/>
        <v>0.67239433202157672</v>
      </c>
      <c r="J29" s="69"/>
      <c r="K29" s="68"/>
      <c r="L29" s="194"/>
    </row>
    <row r="30" spans="1:12" x14ac:dyDescent="0.25">
      <c r="A30" s="33" t="s">
        <v>89</v>
      </c>
      <c r="B30" s="10" t="s">
        <v>39</v>
      </c>
      <c r="C30" s="9" t="s">
        <v>26</v>
      </c>
      <c r="D30" s="164">
        <v>36</v>
      </c>
      <c r="E30" s="205">
        <v>641.26</v>
      </c>
      <c r="G30" s="175">
        <v>23085.360000000001</v>
      </c>
      <c r="H30" s="69"/>
      <c r="I30" s="146">
        <f t="shared" si="4"/>
        <v>7.7864732399935771E-2</v>
      </c>
      <c r="J30" s="69"/>
      <c r="K30" s="68"/>
      <c r="L30" s="194"/>
    </row>
    <row r="31" spans="1:12" x14ac:dyDescent="0.25">
      <c r="A31" s="33" t="s">
        <v>90</v>
      </c>
      <c r="B31" s="10" t="s">
        <v>41</v>
      </c>
      <c r="C31" s="9" t="s">
        <v>42</v>
      </c>
      <c r="D31" s="164">
        <v>900</v>
      </c>
      <c r="E31" s="205">
        <v>8.64</v>
      </c>
      <c r="G31" s="175">
        <v>7776</v>
      </c>
      <c r="H31" s="69"/>
      <c r="I31" s="146">
        <f t="shared" si="4"/>
        <v>2.6227711378202484E-2</v>
      </c>
      <c r="J31" s="69"/>
      <c r="K31" s="68"/>
      <c r="L31" s="194"/>
    </row>
    <row r="32" spans="1:12" x14ac:dyDescent="0.25">
      <c r="A32" s="33" t="s">
        <v>91</v>
      </c>
      <c r="B32" s="10" t="s">
        <v>44</v>
      </c>
      <c r="C32" s="9" t="s">
        <v>42</v>
      </c>
      <c r="D32" s="164">
        <v>1620</v>
      </c>
      <c r="E32" s="205">
        <v>9.66</v>
      </c>
      <c r="G32" s="175">
        <v>15649.2</v>
      </c>
      <c r="H32" s="69"/>
      <c r="I32" s="146">
        <f t="shared" si="4"/>
        <v>5.2783269148632503E-2</v>
      </c>
      <c r="J32" s="69"/>
      <c r="K32" s="68"/>
      <c r="L32" s="194"/>
    </row>
    <row r="33" spans="1:12" x14ac:dyDescent="0.25">
      <c r="A33" s="33" t="s">
        <v>92</v>
      </c>
      <c r="B33" s="10" t="s">
        <v>46</v>
      </c>
      <c r="C33" s="9" t="s">
        <v>42</v>
      </c>
      <c r="D33" s="164">
        <v>1620</v>
      </c>
      <c r="E33" s="205">
        <v>8.84</v>
      </c>
      <c r="G33" s="175">
        <v>14320.8</v>
      </c>
      <c r="H33" s="69"/>
      <c r="I33" s="146">
        <f t="shared" si="4"/>
        <v>4.8302701788189573E-2</v>
      </c>
      <c r="J33" s="69"/>
      <c r="K33" s="68"/>
      <c r="L33" s="194"/>
    </row>
    <row r="34" spans="1:12" x14ac:dyDescent="0.25">
      <c r="A34" s="33" t="s">
        <v>93</v>
      </c>
      <c r="B34" s="10" t="s">
        <v>48</v>
      </c>
      <c r="C34" s="9" t="s">
        <v>26</v>
      </c>
      <c r="D34" s="164">
        <v>72</v>
      </c>
      <c r="E34" s="205">
        <v>25.13</v>
      </c>
      <c r="G34" s="175">
        <v>1809.36</v>
      </c>
      <c r="H34" s="69"/>
      <c r="I34" s="146">
        <f t="shared" si="4"/>
        <v>6.1027998790206331E-3</v>
      </c>
      <c r="J34" s="69"/>
      <c r="K34" s="68"/>
      <c r="L34" s="194"/>
    </row>
    <row r="35" spans="1:12" x14ac:dyDescent="0.25">
      <c r="A35" s="33" t="s">
        <v>94</v>
      </c>
      <c r="B35" s="10" t="s">
        <v>50</v>
      </c>
      <c r="C35" s="9" t="s">
        <v>26</v>
      </c>
      <c r="D35" s="164">
        <v>1.8</v>
      </c>
      <c r="E35" s="205">
        <v>900.01</v>
      </c>
      <c r="G35" s="175">
        <v>1620.02</v>
      </c>
      <c r="H35" s="69"/>
      <c r="I35" s="146">
        <f t="shared" si="4"/>
        <v>5.4641739952309143E-3</v>
      </c>
      <c r="J35" s="69"/>
      <c r="K35" s="68"/>
      <c r="L35" s="194"/>
    </row>
    <row r="36" spans="1:12" x14ac:dyDescent="0.25">
      <c r="A36" s="33" t="s">
        <v>95</v>
      </c>
      <c r="B36" s="10" t="s">
        <v>52</v>
      </c>
      <c r="C36" s="9" t="s">
        <v>26</v>
      </c>
      <c r="D36" s="164">
        <v>1.8</v>
      </c>
      <c r="E36" s="205">
        <v>1002.12</v>
      </c>
      <c r="G36" s="175">
        <v>1803.82</v>
      </c>
      <c r="H36" s="69"/>
      <c r="I36" s="146">
        <f t="shared" si="4"/>
        <v>6.0841139838257721E-3</v>
      </c>
      <c r="J36" s="69"/>
      <c r="K36" s="68"/>
      <c r="L36" s="194"/>
    </row>
    <row r="37" spans="1:12" x14ac:dyDescent="0.25">
      <c r="A37" s="33" t="s">
        <v>96</v>
      </c>
      <c r="B37" s="10" t="s">
        <v>54</v>
      </c>
      <c r="C37" s="9" t="s">
        <v>26</v>
      </c>
      <c r="D37" s="164">
        <v>45</v>
      </c>
      <c r="E37" s="205">
        <v>1037.21</v>
      </c>
      <c r="G37" s="175">
        <v>46674.45</v>
      </c>
      <c r="H37" s="69"/>
      <c r="I37" s="146">
        <f t="shared" si="4"/>
        <v>0.15742849837144327</v>
      </c>
      <c r="J37" s="69"/>
      <c r="K37" s="68"/>
      <c r="L37" s="194"/>
    </row>
    <row r="38" spans="1:12" x14ac:dyDescent="0.25">
      <c r="A38" s="33" t="s">
        <v>97</v>
      </c>
      <c r="B38" s="10" t="s">
        <v>56</v>
      </c>
      <c r="C38" s="9" t="s">
        <v>57</v>
      </c>
      <c r="D38" s="164">
        <v>45</v>
      </c>
      <c r="E38" s="205">
        <v>45.3</v>
      </c>
      <c r="G38" s="175">
        <v>2038.5</v>
      </c>
      <c r="H38" s="69"/>
      <c r="I38" s="146">
        <f t="shared" si="4"/>
        <v>6.8756673925496102E-3</v>
      </c>
      <c r="J38" s="69"/>
      <c r="K38" s="68"/>
      <c r="L38" s="194"/>
    </row>
    <row r="39" spans="1:12" x14ac:dyDescent="0.25">
      <c r="A39" s="33" t="s">
        <v>98</v>
      </c>
      <c r="B39" s="10" t="s">
        <v>59</v>
      </c>
      <c r="C39" s="9" t="s">
        <v>20</v>
      </c>
      <c r="D39" s="164">
        <v>90</v>
      </c>
      <c r="E39" s="205">
        <v>106.17</v>
      </c>
      <c r="G39" s="175">
        <v>9555.2999999999993</v>
      </c>
      <c r="H39" s="69"/>
      <c r="I39" s="146">
        <f t="shared" si="4"/>
        <v>3.2229121724812008E-2</v>
      </c>
      <c r="J39" s="69"/>
      <c r="K39" s="68"/>
      <c r="L39" s="194"/>
    </row>
    <row r="40" spans="1:12" x14ac:dyDescent="0.25">
      <c r="A40" s="33" t="s">
        <v>99</v>
      </c>
      <c r="B40" s="10" t="s">
        <v>61</v>
      </c>
      <c r="C40" s="9" t="s">
        <v>26</v>
      </c>
      <c r="D40" s="164">
        <v>72</v>
      </c>
      <c r="E40" s="205">
        <v>56.85</v>
      </c>
      <c r="G40" s="175">
        <v>4093.2</v>
      </c>
      <c r="H40" s="69"/>
      <c r="I40" s="146">
        <f t="shared" si="4"/>
        <v>1.3805975850470473E-2</v>
      </c>
      <c r="J40" s="69"/>
      <c r="K40" s="68"/>
      <c r="L40" s="194"/>
    </row>
    <row r="41" spans="1:12" x14ac:dyDescent="0.25">
      <c r="A41" s="33" t="s">
        <v>100</v>
      </c>
      <c r="B41" s="10" t="s">
        <v>63</v>
      </c>
      <c r="C41" s="9" t="s">
        <v>20</v>
      </c>
      <c r="D41" s="164">
        <v>72</v>
      </c>
      <c r="E41" s="205">
        <v>76.84</v>
      </c>
      <c r="G41" s="175">
        <v>5532.48</v>
      </c>
      <c r="H41" s="69"/>
      <c r="I41" s="146">
        <f t="shared" si="4"/>
        <v>1.8660530947232211E-2</v>
      </c>
      <c r="J41" s="69"/>
      <c r="K41" s="68"/>
      <c r="L41" s="194"/>
    </row>
    <row r="42" spans="1:12" x14ac:dyDescent="0.25">
      <c r="A42" s="33" t="s">
        <v>101</v>
      </c>
      <c r="B42" s="10" t="s">
        <v>65</v>
      </c>
      <c r="C42" s="9" t="s">
        <v>42</v>
      </c>
      <c r="D42" s="164">
        <v>1125</v>
      </c>
      <c r="E42" s="205">
        <v>11.15</v>
      </c>
      <c r="G42" s="175">
        <v>12543.75</v>
      </c>
      <c r="H42" s="69"/>
      <c r="I42" s="146">
        <f t="shared" si="4"/>
        <v>4.2308880478437172E-2</v>
      </c>
      <c r="J42" s="69"/>
      <c r="K42" s="68"/>
      <c r="L42" s="194"/>
    </row>
    <row r="43" spans="1:12" x14ac:dyDescent="0.25">
      <c r="A43" s="33" t="s">
        <v>102</v>
      </c>
      <c r="B43" s="10" t="s">
        <v>67</v>
      </c>
      <c r="C43" s="9" t="s">
        <v>26</v>
      </c>
      <c r="D43" s="164">
        <v>72</v>
      </c>
      <c r="E43" s="205">
        <v>734.02</v>
      </c>
      <c r="G43" s="175">
        <v>52849.440000000002</v>
      </c>
      <c r="H43" s="69"/>
      <c r="I43" s="146">
        <f t="shared" si="4"/>
        <v>0.17825615468359435</v>
      </c>
      <c r="J43" s="69"/>
      <c r="K43" s="68"/>
      <c r="L43" s="194"/>
    </row>
    <row r="44" spans="1:12" x14ac:dyDescent="0.25">
      <c r="A44" s="32" t="s">
        <v>484</v>
      </c>
      <c r="B44" s="8" t="s">
        <v>119</v>
      </c>
      <c r="C44" s="9"/>
      <c r="D44" s="164"/>
      <c r="E44" s="205"/>
      <c r="G44" s="126">
        <f>SUM(G45:G47)</f>
        <v>33902.550000000003</v>
      </c>
      <c r="H44" s="69"/>
      <c r="I44" s="146">
        <f t="shared" si="4"/>
        <v>0.11435008955569428</v>
      </c>
      <c r="J44" s="69"/>
      <c r="K44" s="68"/>
      <c r="L44" s="194"/>
    </row>
    <row r="45" spans="1:12" x14ac:dyDescent="0.25">
      <c r="A45" s="33" t="s">
        <v>486</v>
      </c>
      <c r="B45" s="10" t="s">
        <v>121</v>
      </c>
      <c r="C45" s="9" t="s">
        <v>26</v>
      </c>
      <c r="D45" s="164">
        <v>405</v>
      </c>
      <c r="E45" s="205">
        <v>78.849999999999994</v>
      </c>
      <c r="G45" s="175">
        <v>31934.25</v>
      </c>
      <c r="H45" s="69"/>
      <c r="I45" s="146">
        <f t="shared" si="4"/>
        <v>0.10771120011308677</v>
      </c>
      <c r="J45" s="69"/>
      <c r="K45" s="68"/>
      <c r="L45" s="194"/>
    </row>
    <row r="46" spans="1:12" x14ac:dyDescent="0.25">
      <c r="A46" s="33" t="s">
        <v>487</v>
      </c>
      <c r="B46" s="10" t="s">
        <v>123</v>
      </c>
      <c r="C46" s="9" t="s">
        <v>26</v>
      </c>
      <c r="D46" s="164">
        <v>67.5</v>
      </c>
      <c r="E46" s="205">
        <v>10.49</v>
      </c>
      <c r="G46" s="175">
        <v>708.08</v>
      </c>
      <c r="H46" s="69"/>
      <c r="I46" s="146">
        <f t="shared" si="4"/>
        <v>2.3882867634616276E-3</v>
      </c>
      <c r="J46" s="69"/>
      <c r="K46" s="68"/>
      <c r="L46" s="194"/>
    </row>
    <row r="47" spans="1:12" x14ac:dyDescent="0.25">
      <c r="A47" s="33" t="s">
        <v>488</v>
      </c>
      <c r="B47" s="10" t="s">
        <v>125</v>
      </c>
      <c r="C47" s="9" t="s">
        <v>26</v>
      </c>
      <c r="D47" s="164">
        <v>67.5</v>
      </c>
      <c r="E47" s="205">
        <v>18.670000000000002</v>
      </c>
      <c r="G47" s="175">
        <v>1260.22</v>
      </c>
      <c r="H47" s="69"/>
      <c r="I47" s="146">
        <f t="shared" si="4"/>
        <v>4.2506026791458767E-3</v>
      </c>
      <c r="J47" s="69"/>
      <c r="K47" s="68"/>
      <c r="L47" s="194"/>
    </row>
    <row r="48" spans="1:12" x14ac:dyDescent="0.25">
      <c r="A48" s="32" t="s">
        <v>103</v>
      </c>
      <c r="B48" s="8" t="s">
        <v>69</v>
      </c>
      <c r="C48" s="9"/>
      <c r="D48" s="164"/>
      <c r="E48" s="205"/>
      <c r="G48" s="126"/>
      <c r="H48" s="143">
        <f>G49+G51</f>
        <v>6872.7</v>
      </c>
      <c r="I48" s="145">
        <f t="shared" si="3"/>
        <v>2.3180966047964532E-2</v>
      </c>
      <c r="J48" s="69"/>
      <c r="K48" s="68"/>
      <c r="L48" s="194"/>
    </row>
    <row r="49" spans="1:12" x14ac:dyDescent="0.25">
      <c r="A49" s="32" t="s">
        <v>104</v>
      </c>
      <c r="B49" s="8" t="s">
        <v>71</v>
      </c>
      <c r="C49" s="9"/>
      <c r="D49" s="164"/>
      <c r="E49" s="205"/>
      <c r="G49" s="126">
        <v>2596.75</v>
      </c>
      <c r="H49" s="69"/>
      <c r="I49" s="146">
        <f>G49/$K$19</f>
        <v>8.7585917594325234E-3</v>
      </c>
      <c r="J49" s="69"/>
      <c r="K49" s="68"/>
      <c r="L49" s="194"/>
    </row>
    <row r="50" spans="1:12" x14ac:dyDescent="0.25">
      <c r="A50" s="33" t="s">
        <v>105</v>
      </c>
      <c r="B50" s="10" t="s">
        <v>73</v>
      </c>
      <c r="C50" s="9" t="s">
        <v>57</v>
      </c>
      <c r="D50" s="164">
        <v>85</v>
      </c>
      <c r="E50" s="205">
        <v>30.55</v>
      </c>
      <c r="G50" s="175">
        <v>2596.75</v>
      </c>
      <c r="H50" s="69"/>
      <c r="I50" s="146">
        <f t="shared" ref="I50:I52" si="5">G50/$K$19</f>
        <v>8.7585917594325234E-3</v>
      </c>
      <c r="J50" s="69"/>
      <c r="K50" s="68"/>
      <c r="L50" s="194"/>
    </row>
    <row r="51" spans="1:12" x14ac:dyDescent="0.25">
      <c r="A51" s="32" t="s">
        <v>106</v>
      </c>
      <c r="B51" s="8" t="s">
        <v>75</v>
      </c>
      <c r="C51" s="9"/>
      <c r="D51" s="164"/>
      <c r="E51" s="205"/>
      <c r="G51" s="126">
        <v>4275.95</v>
      </c>
      <c r="H51" s="69"/>
      <c r="I51" s="146">
        <f t="shared" si="5"/>
        <v>1.4422374288532011E-2</v>
      </c>
      <c r="J51" s="69"/>
      <c r="K51" s="68"/>
      <c r="L51" s="194"/>
    </row>
    <row r="52" spans="1:12" ht="25.5" x14ac:dyDescent="0.25">
      <c r="A52" s="33" t="s">
        <v>107</v>
      </c>
      <c r="B52" s="10" t="s">
        <v>77</v>
      </c>
      <c r="C52" s="9" t="s">
        <v>26</v>
      </c>
      <c r="D52" s="164">
        <v>2.5</v>
      </c>
      <c r="E52" s="205">
        <v>1710.38</v>
      </c>
      <c r="G52" s="175">
        <v>4275.95</v>
      </c>
      <c r="H52" s="69"/>
      <c r="I52" s="146">
        <f t="shared" si="5"/>
        <v>1.4422374288532011E-2</v>
      </c>
      <c r="J52" s="69"/>
      <c r="K52" s="68"/>
      <c r="L52" s="194"/>
    </row>
    <row r="53" spans="1:12" x14ac:dyDescent="0.25">
      <c r="A53" s="33"/>
      <c r="B53" s="10"/>
      <c r="C53" s="9"/>
      <c r="D53" s="164"/>
      <c r="E53" s="205"/>
      <c r="G53" s="175"/>
      <c r="H53" s="69"/>
      <c r="I53" s="152"/>
      <c r="J53" s="69"/>
      <c r="K53" s="68"/>
      <c r="L53" s="194"/>
    </row>
    <row r="54" spans="1:12" x14ac:dyDescent="0.25">
      <c r="A54" s="32">
        <v>3</v>
      </c>
      <c r="B54" s="8" t="s">
        <v>581</v>
      </c>
      <c r="C54" s="9"/>
      <c r="D54" s="164"/>
      <c r="E54" s="205"/>
      <c r="G54" s="126"/>
      <c r="H54" s="69"/>
      <c r="I54" s="152"/>
      <c r="J54" s="69"/>
      <c r="K54" s="68">
        <f>SUM(H54:H83)</f>
        <v>836296</v>
      </c>
      <c r="L54" s="169">
        <f>K54/$G$253</f>
        <v>0.15551789792323159</v>
      </c>
    </row>
    <row r="55" spans="1:12" x14ac:dyDescent="0.25">
      <c r="A55" s="32" t="s">
        <v>109</v>
      </c>
      <c r="B55" s="8" t="s">
        <v>15</v>
      </c>
      <c r="C55" s="9"/>
      <c r="D55" s="164"/>
      <c r="E55" s="205"/>
      <c r="G55" s="126"/>
      <c r="H55" s="143">
        <f>G56</f>
        <v>20630.93</v>
      </c>
      <c r="I55" s="145">
        <f>H55/$K$54</f>
        <v>2.4669411308914549E-2</v>
      </c>
      <c r="J55" s="69"/>
      <c r="K55" s="68"/>
      <c r="L55" s="194"/>
    </row>
    <row r="56" spans="1:12" x14ac:dyDescent="0.25">
      <c r="A56" s="32" t="s">
        <v>110</v>
      </c>
      <c r="B56" s="8" t="s">
        <v>17</v>
      </c>
      <c r="C56" s="9"/>
      <c r="D56" s="164"/>
      <c r="E56" s="205"/>
      <c r="G56" s="126">
        <f>SUM(G57:G60)</f>
        <v>20630.93</v>
      </c>
      <c r="H56" s="69"/>
      <c r="I56" s="146">
        <f>G56/$K$54</f>
        <v>2.4669411308914549E-2</v>
      </c>
      <c r="J56" s="69"/>
      <c r="K56" s="68"/>
      <c r="L56" s="194"/>
    </row>
    <row r="57" spans="1:12" x14ac:dyDescent="0.25">
      <c r="A57" s="33" t="s">
        <v>111</v>
      </c>
      <c r="B57" s="10" t="s">
        <v>19</v>
      </c>
      <c r="C57" s="9" t="s">
        <v>20</v>
      </c>
      <c r="D57" s="164">
        <v>752</v>
      </c>
      <c r="E57" s="205">
        <v>4.38</v>
      </c>
      <c r="G57" s="175">
        <v>3293.76</v>
      </c>
      <c r="H57" s="69"/>
      <c r="I57" s="146">
        <f t="shared" ref="I57:I60" si="6">G57/$K$54</f>
        <v>3.9385098099237589E-3</v>
      </c>
      <c r="J57" s="69"/>
      <c r="K57" s="68"/>
      <c r="L57" s="194"/>
    </row>
    <row r="58" spans="1:12" x14ac:dyDescent="0.25">
      <c r="A58" s="33" t="s">
        <v>112</v>
      </c>
      <c r="B58" s="10" t="s">
        <v>22</v>
      </c>
      <c r="C58" s="9" t="s">
        <v>23</v>
      </c>
      <c r="D58" s="164">
        <v>18.8</v>
      </c>
      <c r="E58" s="205">
        <v>217.25</v>
      </c>
      <c r="G58" s="175">
        <v>4084.3</v>
      </c>
      <c r="H58" s="69"/>
      <c r="I58" s="146">
        <f t="shared" si="6"/>
        <v>4.8837971244631087E-3</v>
      </c>
      <c r="J58" s="69"/>
      <c r="K58" s="68"/>
      <c r="L58" s="194"/>
    </row>
    <row r="59" spans="1:12" x14ac:dyDescent="0.25">
      <c r="A59" s="33" t="s">
        <v>113</v>
      </c>
      <c r="B59" s="10" t="s">
        <v>25</v>
      </c>
      <c r="C59" s="9" t="s">
        <v>26</v>
      </c>
      <c r="D59" s="164">
        <v>225.6</v>
      </c>
      <c r="E59" s="205">
        <v>17.54</v>
      </c>
      <c r="G59" s="175">
        <v>3957.02</v>
      </c>
      <c r="H59" s="69"/>
      <c r="I59" s="146">
        <f t="shared" si="6"/>
        <v>4.7316022078307202E-3</v>
      </c>
      <c r="J59" s="69"/>
      <c r="K59" s="68"/>
      <c r="L59" s="194"/>
    </row>
    <row r="60" spans="1:12" x14ac:dyDescent="0.25">
      <c r="A60" s="33" t="s">
        <v>114</v>
      </c>
      <c r="B60" s="10" t="s">
        <v>28</v>
      </c>
      <c r="C60" s="9" t="s">
        <v>29</v>
      </c>
      <c r="D60" s="164">
        <v>4534.5600000000004</v>
      </c>
      <c r="E60" s="205">
        <v>2.0499999999999998</v>
      </c>
      <c r="G60" s="175">
        <v>9295.85</v>
      </c>
      <c r="H60" s="69"/>
      <c r="I60" s="146">
        <f t="shared" si="6"/>
        <v>1.1115502166696959E-2</v>
      </c>
      <c r="J60" s="69"/>
      <c r="K60" s="68"/>
      <c r="L60" s="194"/>
    </row>
    <row r="61" spans="1:12" x14ac:dyDescent="0.25">
      <c r="A61" s="32" t="s">
        <v>115</v>
      </c>
      <c r="B61" s="8" t="s">
        <v>31</v>
      </c>
      <c r="C61" s="9"/>
      <c r="D61" s="164"/>
      <c r="E61" s="205"/>
      <c r="G61" s="126"/>
      <c r="H61" s="143">
        <f>G62+G64</f>
        <v>808498.71</v>
      </c>
      <c r="I61" s="145">
        <f t="shared" ref="I61:I79" si="7">H61/$K$54</f>
        <v>0.96676142179324065</v>
      </c>
      <c r="J61" s="69"/>
      <c r="K61" s="68"/>
      <c r="L61" s="194"/>
    </row>
    <row r="62" spans="1:12" x14ac:dyDescent="0.25">
      <c r="A62" s="32" t="s">
        <v>116</v>
      </c>
      <c r="B62" s="8" t="s">
        <v>33</v>
      </c>
      <c r="C62" s="9"/>
      <c r="D62" s="164"/>
      <c r="E62" s="205"/>
      <c r="G62" s="126">
        <f>G63</f>
        <v>443020.64</v>
      </c>
      <c r="H62" s="69"/>
      <c r="I62" s="146">
        <f>G62/$K$54</f>
        <v>0.52974143126357176</v>
      </c>
      <c r="J62" s="69"/>
      <c r="K62" s="68"/>
      <c r="L62" s="194"/>
    </row>
    <row r="63" spans="1:12" ht="25.5" x14ac:dyDescent="0.25">
      <c r="A63" s="33" t="s">
        <v>117</v>
      </c>
      <c r="B63" s="10" t="s">
        <v>35</v>
      </c>
      <c r="C63" s="9" t="s">
        <v>20</v>
      </c>
      <c r="D63" s="164">
        <v>587</v>
      </c>
      <c r="E63" s="205">
        <v>754.72</v>
      </c>
      <c r="G63" s="175">
        <v>443020.64</v>
      </c>
      <c r="H63" s="69"/>
      <c r="I63" s="146">
        <f t="shared" ref="I63:I78" si="8">G63/$K$54</f>
        <v>0.52974143126357176</v>
      </c>
      <c r="J63" s="69"/>
      <c r="K63" s="68"/>
      <c r="L63" s="194"/>
    </row>
    <row r="64" spans="1:12" x14ac:dyDescent="0.25">
      <c r="A64" s="32" t="s">
        <v>118</v>
      </c>
      <c r="B64" s="8" t="s">
        <v>37</v>
      </c>
      <c r="C64" s="9"/>
      <c r="D64" s="164"/>
      <c r="E64" s="205"/>
      <c r="G64" s="126">
        <f>SUM(G65:G78)</f>
        <v>365478.07</v>
      </c>
      <c r="H64" s="69"/>
      <c r="I64" s="146">
        <f t="shared" si="8"/>
        <v>0.43701999052966894</v>
      </c>
      <c r="J64" s="69"/>
      <c r="K64" s="68"/>
      <c r="L64" s="194"/>
    </row>
    <row r="65" spans="1:12" x14ac:dyDescent="0.25">
      <c r="A65" s="33" t="s">
        <v>120</v>
      </c>
      <c r="B65" s="10" t="s">
        <v>39</v>
      </c>
      <c r="C65" s="9" t="s">
        <v>26</v>
      </c>
      <c r="D65" s="164">
        <v>66</v>
      </c>
      <c r="E65" s="205">
        <v>641.26</v>
      </c>
      <c r="G65" s="175">
        <v>42323.16</v>
      </c>
      <c r="H65" s="69"/>
      <c r="I65" s="146">
        <f t="shared" si="8"/>
        <v>5.0607870897385616E-2</v>
      </c>
      <c r="J65" s="69"/>
      <c r="K65" s="68"/>
      <c r="L65" s="194"/>
    </row>
    <row r="66" spans="1:12" x14ac:dyDescent="0.25">
      <c r="A66" s="33" t="s">
        <v>122</v>
      </c>
      <c r="B66" s="10" t="s">
        <v>41</v>
      </c>
      <c r="C66" s="9" t="s">
        <v>42</v>
      </c>
      <c r="D66" s="164">
        <v>1650</v>
      </c>
      <c r="E66" s="205">
        <v>8.64</v>
      </c>
      <c r="G66" s="175">
        <v>14256</v>
      </c>
      <c r="H66" s="69"/>
      <c r="I66" s="146">
        <f t="shared" si="8"/>
        <v>1.7046595942106623E-2</v>
      </c>
      <c r="J66" s="69"/>
      <c r="K66" s="68"/>
      <c r="L66" s="194"/>
    </row>
    <row r="67" spans="1:12" x14ac:dyDescent="0.25">
      <c r="A67" s="33" t="s">
        <v>124</v>
      </c>
      <c r="B67" s="10" t="s">
        <v>44</v>
      </c>
      <c r="C67" s="9" t="s">
        <v>42</v>
      </c>
      <c r="D67" s="164">
        <v>2970</v>
      </c>
      <c r="E67" s="205">
        <v>9.66</v>
      </c>
      <c r="G67" s="175">
        <v>28690.2</v>
      </c>
      <c r="H67" s="69"/>
      <c r="I67" s="146">
        <f t="shared" si="8"/>
        <v>3.4306274333489581E-2</v>
      </c>
      <c r="J67" s="69"/>
      <c r="K67" s="68"/>
      <c r="L67" s="194"/>
    </row>
    <row r="68" spans="1:12" x14ac:dyDescent="0.25">
      <c r="A68" s="33" t="s">
        <v>298</v>
      </c>
      <c r="B68" s="10" t="s">
        <v>46</v>
      </c>
      <c r="C68" s="9" t="s">
        <v>42</v>
      </c>
      <c r="D68" s="164">
        <v>2970</v>
      </c>
      <c r="E68" s="205">
        <v>8.84</v>
      </c>
      <c r="G68" s="175">
        <v>26254.799999999999</v>
      </c>
      <c r="H68" s="69"/>
      <c r="I68" s="146">
        <f t="shared" si="8"/>
        <v>3.1394147526713032E-2</v>
      </c>
      <c r="J68" s="69"/>
      <c r="K68" s="68"/>
      <c r="L68" s="194"/>
    </row>
    <row r="69" spans="1:12" x14ac:dyDescent="0.25">
      <c r="A69" s="33" t="s">
        <v>299</v>
      </c>
      <c r="B69" s="10" t="s">
        <v>48</v>
      </c>
      <c r="C69" s="9" t="s">
        <v>26</v>
      </c>
      <c r="D69" s="164">
        <v>132</v>
      </c>
      <c r="E69" s="205">
        <v>25.13</v>
      </c>
      <c r="G69" s="175">
        <v>3317.16</v>
      </c>
      <c r="H69" s="69"/>
      <c r="I69" s="146">
        <f t="shared" si="8"/>
        <v>3.9664903335661058E-3</v>
      </c>
      <c r="J69" s="69"/>
      <c r="K69" s="68"/>
      <c r="L69" s="194"/>
    </row>
    <row r="70" spans="1:12" x14ac:dyDescent="0.25">
      <c r="A70" s="33" t="s">
        <v>300</v>
      </c>
      <c r="B70" s="10" t="s">
        <v>50</v>
      </c>
      <c r="C70" s="9" t="s">
        <v>26</v>
      </c>
      <c r="D70" s="164">
        <v>3.3</v>
      </c>
      <c r="E70" s="205">
        <v>900.01</v>
      </c>
      <c r="G70" s="175">
        <v>2970.03</v>
      </c>
      <c r="H70" s="69"/>
      <c r="I70" s="146">
        <f t="shared" si="8"/>
        <v>3.5514100270717546E-3</v>
      </c>
      <c r="J70" s="69"/>
      <c r="K70" s="68"/>
      <c r="L70" s="194"/>
    </row>
    <row r="71" spans="1:12" x14ac:dyDescent="0.25">
      <c r="A71" s="33" t="s">
        <v>301</v>
      </c>
      <c r="B71" s="10" t="s">
        <v>52</v>
      </c>
      <c r="C71" s="9" t="s">
        <v>26</v>
      </c>
      <c r="D71" s="164">
        <v>3.3</v>
      </c>
      <c r="E71" s="205">
        <v>1002.12</v>
      </c>
      <c r="G71" s="175">
        <v>3307</v>
      </c>
      <c r="H71" s="69"/>
      <c r="I71" s="146">
        <f t="shared" si="8"/>
        <v>3.9543415250102836E-3</v>
      </c>
      <c r="J71" s="69"/>
      <c r="K71" s="68"/>
      <c r="L71" s="194"/>
    </row>
    <row r="72" spans="1:12" x14ac:dyDescent="0.25">
      <c r="A72" s="33" t="s">
        <v>302</v>
      </c>
      <c r="B72" s="10" t="s">
        <v>54</v>
      </c>
      <c r="C72" s="9" t="s">
        <v>26</v>
      </c>
      <c r="D72" s="164">
        <v>82.5</v>
      </c>
      <c r="E72" s="205">
        <v>1037.21</v>
      </c>
      <c r="G72" s="175">
        <v>85569.82</v>
      </c>
      <c r="H72" s="69"/>
      <c r="I72" s="146">
        <f t="shared" si="8"/>
        <v>0.10232001587954505</v>
      </c>
      <c r="J72" s="69"/>
      <c r="K72" s="68"/>
      <c r="L72" s="194"/>
    </row>
    <row r="73" spans="1:12" x14ac:dyDescent="0.25">
      <c r="A73" s="33" t="s">
        <v>303</v>
      </c>
      <c r="B73" s="10" t="s">
        <v>56</v>
      </c>
      <c r="C73" s="9" t="s">
        <v>57</v>
      </c>
      <c r="D73" s="164">
        <v>82.5</v>
      </c>
      <c r="E73" s="205">
        <v>45.3</v>
      </c>
      <c r="G73" s="175">
        <v>3737.25</v>
      </c>
      <c r="H73" s="69"/>
      <c r="I73" s="146">
        <f t="shared" si="8"/>
        <v>4.4688124778786455E-3</v>
      </c>
      <c r="J73" s="69"/>
      <c r="K73" s="68"/>
      <c r="L73" s="194"/>
    </row>
    <row r="74" spans="1:12" x14ac:dyDescent="0.25">
      <c r="A74" s="33" t="s">
        <v>304</v>
      </c>
      <c r="B74" s="10" t="s">
        <v>59</v>
      </c>
      <c r="C74" s="9" t="s">
        <v>20</v>
      </c>
      <c r="D74" s="164">
        <v>165</v>
      </c>
      <c r="E74" s="205">
        <v>106.17</v>
      </c>
      <c r="G74" s="175">
        <v>17518.05</v>
      </c>
      <c r="H74" s="69"/>
      <c r="I74" s="146">
        <f t="shared" si="8"/>
        <v>2.0947188555248381E-2</v>
      </c>
      <c r="J74" s="69"/>
      <c r="K74" s="68"/>
      <c r="L74" s="194"/>
    </row>
    <row r="75" spans="1:12" x14ac:dyDescent="0.25">
      <c r="A75" s="33" t="s">
        <v>305</v>
      </c>
      <c r="B75" s="10" t="s">
        <v>61</v>
      </c>
      <c r="C75" s="9" t="s">
        <v>26</v>
      </c>
      <c r="D75" s="164">
        <v>132</v>
      </c>
      <c r="E75" s="205">
        <v>56.85</v>
      </c>
      <c r="G75" s="175">
        <v>7504.2</v>
      </c>
      <c r="H75" s="69"/>
      <c r="I75" s="146">
        <f t="shared" si="8"/>
        <v>8.9731386973033473E-3</v>
      </c>
      <c r="J75" s="69"/>
      <c r="K75" s="68"/>
      <c r="L75" s="194"/>
    </row>
    <row r="76" spans="1:12" x14ac:dyDescent="0.25">
      <c r="A76" s="33" t="s">
        <v>306</v>
      </c>
      <c r="B76" s="10" t="s">
        <v>63</v>
      </c>
      <c r="C76" s="9" t="s">
        <v>20</v>
      </c>
      <c r="D76" s="164">
        <v>132</v>
      </c>
      <c r="E76" s="205">
        <v>76.84</v>
      </c>
      <c r="G76" s="175">
        <v>10142.879999999999</v>
      </c>
      <c r="H76" s="69"/>
      <c r="I76" s="146">
        <f t="shared" si="8"/>
        <v>1.2128337335106229E-2</v>
      </c>
      <c r="J76" s="69"/>
      <c r="K76" s="68"/>
      <c r="L76" s="194"/>
    </row>
    <row r="77" spans="1:12" x14ac:dyDescent="0.25">
      <c r="A77" s="33" t="s">
        <v>307</v>
      </c>
      <c r="B77" s="10" t="s">
        <v>65</v>
      </c>
      <c r="C77" s="9" t="s">
        <v>42</v>
      </c>
      <c r="D77" s="164">
        <v>2062.5</v>
      </c>
      <c r="E77" s="205">
        <v>11.15</v>
      </c>
      <c r="G77" s="175">
        <v>22996.880000000001</v>
      </c>
      <c r="H77" s="69"/>
      <c r="I77" s="146">
        <f t="shared" si="8"/>
        <v>2.7498493356419261E-2</v>
      </c>
      <c r="J77" s="69"/>
      <c r="K77" s="68"/>
      <c r="L77" s="194"/>
    </row>
    <row r="78" spans="1:12" x14ac:dyDescent="0.25">
      <c r="A78" s="33" t="s">
        <v>308</v>
      </c>
      <c r="B78" s="10" t="s">
        <v>67</v>
      </c>
      <c r="C78" s="9" t="s">
        <v>26</v>
      </c>
      <c r="D78" s="164">
        <v>132</v>
      </c>
      <c r="E78" s="205">
        <v>734.02</v>
      </c>
      <c r="G78" s="175">
        <v>96890.64</v>
      </c>
      <c r="H78" s="69"/>
      <c r="I78" s="146">
        <f t="shared" si="8"/>
        <v>0.11585687364282503</v>
      </c>
      <c r="J78" s="69"/>
      <c r="K78" s="68"/>
      <c r="L78" s="194"/>
    </row>
    <row r="79" spans="1:12" x14ac:dyDescent="0.25">
      <c r="A79" s="32" t="s">
        <v>126</v>
      </c>
      <c r="B79" s="8" t="s">
        <v>69</v>
      </c>
      <c r="C79" s="9"/>
      <c r="D79" s="164"/>
      <c r="E79" s="205"/>
      <c r="G79" s="126"/>
      <c r="H79" s="143">
        <f>G80+G82</f>
        <v>7166.3600000000006</v>
      </c>
      <c r="I79" s="145">
        <f t="shared" si="7"/>
        <v>8.5691668978447825E-3</v>
      </c>
      <c r="J79" s="69"/>
      <c r="K79" s="68"/>
      <c r="L79" s="194"/>
    </row>
    <row r="80" spans="1:12" x14ac:dyDescent="0.25">
      <c r="A80" s="32" t="s">
        <v>127</v>
      </c>
      <c r="B80" s="8" t="s">
        <v>71</v>
      </c>
      <c r="C80" s="9"/>
      <c r="D80" s="164"/>
      <c r="E80" s="205"/>
      <c r="G80" s="126">
        <v>4429.75</v>
      </c>
      <c r="H80" s="69"/>
      <c r="I80" s="146">
        <f>G80/$K$54</f>
        <v>5.2968685728498046E-3</v>
      </c>
      <c r="J80" s="69"/>
      <c r="K80" s="68"/>
      <c r="L80" s="194"/>
    </row>
    <row r="81" spans="1:12" x14ac:dyDescent="0.25">
      <c r="A81" s="33" t="s">
        <v>128</v>
      </c>
      <c r="B81" s="10" t="s">
        <v>73</v>
      </c>
      <c r="C81" s="9" t="s">
        <v>57</v>
      </c>
      <c r="D81" s="164">
        <v>145</v>
      </c>
      <c r="E81" s="205">
        <v>30.55</v>
      </c>
      <c r="G81" s="175">
        <v>4429.75</v>
      </c>
      <c r="H81" s="69"/>
      <c r="I81" s="146">
        <f t="shared" ref="I81:I83" si="9">G81/$K$54</f>
        <v>5.2968685728498046E-3</v>
      </c>
      <c r="J81" s="69"/>
      <c r="K81" s="68"/>
      <c r="L81" s="194"/>
    </row>
    <row r="82" spans="1:12" x14ac:dyDescent="0.25">
      <c r="A82" s="32" t="s">
        <v>129</v>
      </c>
      <c r="B82" s="8" t="s">
        <v>75</v>
      </c>
      <c r="C82" s="9"/>
      <c r="D82" s="164"/>
      <c r="E82" s="205"/>
      <c r="G82" s="126">
        <v>2736.61</v>
      </c>
      <c r="H82" s="69"/>
      <c r="I82" s="146">
        <f t="shared" si="9"/>
        <v>3.2722983249949779E-3</v>
      </c>
      <c r="J82" s="69"/>
      <c r="K82" s="68"/>
      <c r="L82" s="194"/>
    </row>
    <row r="83" spans="1:12" ht="25.5" x14ac:dyDescent="0.25">
      <c r="A83" s="33" t="s">
        <v>130</v>
      </c>
      <c r="B83" s="10" t="s">
        <v>77</v>
      </c>
      <c r="C83" s="9" t="s">
        <v>26</v>
      </c>
      <c r="D83" s="164">
        <v>1.6</v>
      </c>
      <c r="E83" s="205">
        <v>1710.38</v>
      </c>
      <c r="G83" s="175">
        <v>2736.61</v>
      </c>
      <c r="H83" s="69"/>
      <c r="I83" s="146">
        <f t="shared" si="9"/>
        <v>3.2722983249949779E-3</v>
      </c>
      <c r="J83" s="69"/>
      <c r="K83" s="68"/>
      <c r="L83" s="194"/>
    </row>
    <row r="84" spans="1:12" x14ac:dyDescent="0.25">
      <c r="A84" s="33"/>
      <c r="B84" s="10"/>
      <c r="C84" s="9"/>
      <c r="D84" s="164"/>
      <c r="E84" s="205"/>
      <c r="G84" s="175"/>
      <c r="H84" s="69"/>
      <c r="I84" s="152"/>
      <c r="J84" s="69"/>
      <c r="K84" s="68"/>
      <c r="L84" s="194"/>
    </row>
    <row r="85" spans="1:12" x14ac:dyDescent="0.25">
      <c r="A85" s="32">
        <v>4</v>
      </c>
      <c r="B85" s="8" t="s">
        <v>582</v>
      </c>
      <c r="C85" s="9"/>
      <c r="D85" s="164"/>
      <c r="E85" s="205"/>
      <c r="G85" s="126"/>
      <c r="H85" s="69"/>
      <c r="I85" s="152"/>
      <c r="J85" s="69"/>
      <c r="K85" s="68">
        <f>SUM(H85:H114)</f>
        <v>2259860.0100000002</v>
      </c>
      <c r="L85" s="169">
        <f>K85/$G$253</f>
        <v>0.42024436127396658</v>
      </c>
    </row>
    <row r="86" spans="1:12" x14ac:dyDescent="0.25">
      <c r="A86" s="32" t="s">
        <v>132</v>
      </c>
      <c r="B86" s="8" t="s">
        <v>15</v>
      </c>
      <c r="C86" s="9"/>
      <c r="D86" s="164"/>
      <c r="E86" s="205"/>
      <c r="G86" s="126"/>
      <c r="H86" s="143">
        <f>G87</f>
        <v>66145.179999999993</v>
      </c>
      <c r="I86" s="145">
        <f>H86/$K$85</f>
        <v>2.9269591792103967E-2</v>
      </c>
      <c r="J86" s="69"/>
      <c r="K86" s="68"/>
      <c r="L86" s="194"/>
    </row>
    <row r="87" spans="1:12" x14ac:dyDescent="0.25">
      <c r="A87" s="32" t="s">
        <v>133</v>
      </c>
      <c r="B87" s="8" t="s">
        <v>17</v>
      </c>
      <c r="C87" s="9"/>
      <c r="D87" s="164"/>
      <c r="E87" s="205"/>
      <c r="G87" s="126">
        <f>SUM(G88:G91)</f>
        <v>66145.179999999993</v>
      </c>
      <c r="H87" s="69"/>
      <c r="I87" s="146">
        <f>G87/$K$85</f>
        <v>2.9269591792103967E-2</v>
      </c>
      <c r="J87" s="69"/>
      <c r="K87" s="68"/>
      <c r="L87" s="194"/>
    </row>
    <row r="88" spans="1:12" x14ac:dyDescent="0.25">
      <c r="A88" s="33" t="s">
        <v>134</v>
      </c>
      <c r="B88" s="10" t="s">
        <v>19</v>
      </c>
      <c r="C88" s="9" t="s">
        <v>20</v>
      </c>
      <c r="D88" s="164">
        <v>2411</v>
      </c>
      <c r="E88" s="205">
        <v>4.38</v>
      </c>
      <c r="G88" s="175">
        <v>10560.18</v>
      </c>
      <c r="H88" s="69"/>
      <c r="I88" s="146">
        <f t="shared" ref="I88:I91" si="10">G88/$K$85</f>
        <v>4.6729354709011371E-3</v>
      </c>
      <c r="J88" s="69"/>
      <c r="K88" s="68"/>
      <c r="L88" s="194"/>
    </row>
    <row r="89" spans="1:12" x14ac:dyDescent="0.25">
      <c r="A89" s="33" t="s">
        <v>135</v>
      </c>
      <c r="B89" s="10" t="s">
        <v>22</v>
      </c>
      <c r="C89" s="9" t="s">
        <v>23</v>
      </c>
      <c r="D89" s="164">
        <v>60.28</v>
      </c>
      <c r="E89" s="205">
        <v>217.25</v>
      </c>
      <c r="G89" s="175">
        <v>13094.74</v>
      </c>
      <c r="H89" s="69"/>
      <c r="I89" s="146">
        <f t="shared" si="10"/>
        <v>5.7944916685348123E-3</v>
      </c>
      <c r="J89" s="69"/>
      <c r="K89" s="68"/>
      <c r="L89" s="194"/>
    </row>
    <row r="90" spans="1:12" x14ac:dyDescent="0.25">
      <c r="A90" s="33" t="s">
        <v>136</v>
      </c>
      <c r="B90" s="10" t="s">
        <v>25</v>
      </c>
      <c r="C90" s="9" t="s">
        <v>26</v>
      </c>
      <c r="D90" s="164">
        <v>723.3</v>
      </c>
      <c r="E90" s="205">
        <v>17.54</v>
      </c>
      <c r="G90" s="175">
        <v>12686.68</v>
      </c>
      <c r="H90" s="69"/>
      <c r="I90" s="146">
        <f t="shared" si="10"/>
        <v>5.6139229615377812E-3</v>
      </c>
      <c r="J90" s="69"/>
      <c r="K90" s="68"/>
      <c r="L90" s="194"/>
    </row>
    <row r="91" spans="1:12" x14ac:dyDescent="0.25">
      <c r="A91" s="33" t="s">
        <v>137</v>
      </c>
      <c r="B91" s="10" t="s">
        <v>28</v>
      </c>
      <c r="C91" s="9" t="s">
        <v>29</v>
      </c>
      <c r="D91" s="164">
        <v>14538.33</v>
      </c>
      <c r="E91" s="205">
        <v>2.0499999999999998</v>
      </c>
      <c r="G91" s="175">
        <v>29803.58</v>
      </c>
      <c r="H91" s="69"/>
      <c r="I91" s="146">
        <f t="shared" si="10"/>
        <v>1.318824169113024E-2</v>
      </c>
      <c r="J91" s="69"/>
      <c r="K91" s="68"/>
      <c r="L91" s="194"/>
    </row>
    <row r="92" spans="1:12" x14ac:dyDescent="0.25">
      <c r="A92" s="32" t="s">
        <v>138</v>
      </c>
      <c r="B92" s="8" t="s">
        <v>31</v>
      </c>
      <c r="C92" s="9"/>
      <c r="D92" s="164"/>
      <c r="E92" s="205"/>
      <c r="G92" s="126"/>
      <c r="H92" s="143">
        <f>G93+G95</f>
        <v>2174482.48</v>
      </c>
      <c r="I92" s="145">
        <f t="shared" ref="I92:I110" si="11">H92/$K$85</f>
        <v>0.96221999167107686</v>
      </c>
      <c r="J92" s="69"/>
      <c r="K92" s="68"/>
      <c r="L92" s="194"/>
    </row>
    <row r="93" spans="1:12" x14ac:dyDescent="0.25">
      <c r="A93" s="32" t="s">
        <v>139</v>
      </c>
      <c r="B93" s="8" t="s">
        <v>33</v>
      </c>
      <c r="C93" s="9"/>
      <c r="D93" s="164"/>
      <c r="E93" s="205"/>
      <c r="G93" s="126">
        <v>1636232.96</v>
      </c>
      <c r="H93" s="69"/>
      <c r="I93" s="146">
        <f>G93/$K$85</f>
        <v>0.72404173389483528</v>
      </c>
      <c r="J93" s="69"/>
      <c r="K93" s="68"/>
      <c r="L93" s="194"/>
    </row>
    <row r="94" spans="1:12" ht="25.5" x14ac:dyDescent="0.25">
      <c r="A94" s="33" t="s">
        <v>140</v>
      </c>
      <c r="B94" s="10" t="s">
        <v>35</v>
      </c>
      <c r="C94" s="9" t="s">
        <v>20</v>
      </c>
      <c r="D94" s="164">
        <v>2168</v>
      </c>
      <c r="E94" s="205">
        <v>754.72</v>
      </c>
      <c r="G94" s="175">
        <v>1636232.96</v>
      </c>
      <c r="H94" s="69"/>
      <c r="I94" s="146">
        <f t="shared" ref="I94:I109" si="12">G94/$K$85</f>
        <v>0.72404173389483528</v>
      </c>
      <c r="J94" s="69"/>
      <c r="K94" s="68"/>
      <c r="L94" s="194"/>
    </row>
    <row r="95" spans="1:12" x14ac:dyDescent="0.25">
      <c r="A95" s="32" t="s">
        <v>143</v>
      </c>
      <c r="B95" s="8" t="s">
        <v>37</v>
      </c>
      <c r="C95" s="9"/>
      <c r="D95" s="164"/>
      <c r="E95" s="205"/>
      <c r="G95" s="126">
        <f>SUM(G96:G109)</f>
        <v>538249.52</v>
      </c>
      <c r="H95" s="69"/>
      <c r="I95" s="146">
        <f t="shared" si="12"/>
        <v>0.23817825777624163</v>
      </c>
      <c r="J95" s="69"/>
      <c r="K95" s="68"/>
      <c r="L95" s="194"/>
    </row>
    <row r="96" spans="1:12" x14ac:dyDescent="0.25">
      <c r="A96" s="33" t="s">
        <v>145</v>
      </c>
      <c r="B96" s="10" t="s">
        <v>39</v>
      </c>
      <c r="C96" s="9" t="s">
        <v>26</v>
      </c>
      <c r="D96" s="164">
        <v>97.2</v>
      </c>
      <c r="E96" s="205">
        <v>641.26</v>
      </c>
      <c r="G96" s="175">
        <v>62330.47</v>
      </c>
      <c r="H96" s="69"/>
      <c r="I96" s="146">
        <f t="shared" si="12"/>
        <v>2.7581562452622891E-2</v>
      </c>
      <c r="J96" s="69"/>
      <c r="K96" s="68"/>
      <c r="L96" s="194"/>
    </row>
    <row r="97" spans="1:12" x14ac:dyDescent="0.25">
      <c r="A97" s="33" t="s">
        <v>159</v>
      </c>
      <c r="B97" s="10" t="s">
        <v>41</v>
      </c>
      <c r="C97" s="9" t="s">
        <v>42</v>
      </c>
      <c r="D97" s="164">
        <v>2430</v>
      </c>
      <c r="E97" s="205">
        <v>8.64</v>
      </c>
      <c r="G97" s="175">
        <v>20995.200000000001</v>
      </c>
      <c r="H97" s="69"/>
      <c r="I97" s="146">
        <f t="shared" si="12"/>
        <v>9.2904869802090083E-3</v>
      </c>
      <c r="J97" s="69"/>
      <c r="K97" s="68"/>
      <c r="L97" s="194"/>
    </row>
    <row r="98" spans="1:12" x14ac:dyDescent="0.25">
      <c r="A98" s="33" t="s">
        <v>329</v>
      </c>
      <c r="B98" s="10" t="s">
        <v>44</v>
      </c>
      <c r="C98" s="9" t="s">
        <v>42</v>
      </c>
      <c r="D98" s="164">
        <v>4374</v>
      </c>
      <c r="E98" s="205">
        <v>9.66</v>
      </c>
      <c r="G98" s="175">
        <v>42252.84</v>
      </c>
      <c r="H98" s="69"/>
      <c r="I98" s="146">
        <f t="shared" si="12"/>
        <v>1.8697105047670626E-2</v>
      </c>
      <c r="J98" s="69"/>
      <c r="K98" s="68"/>
      <c r="L98" s="194"/>
    </row>
    <row r="99" spans="1:12" x14ac:dyDescent="0.25">
      <c r="A99" s="33" t="s">
        <v>330</v>
      </c>
      <c r="B99" s="10" t="s">
        <v>46</v>
      </c>
      <c r="C99" s="9" t="s">
        <v>42</v>
      </c>
      <c r="D99" s="164">
        <v>4374</v>
      </c>
      <c r="E99" s="205">
        <v>8.84</v>
      </c>
      <c r="G99" s="175">
        <v>38666.160000000003</v>
      </c>
      <c r="H99" s="69"/>
      <c r="I99" s="146">
        <f t="shared" si="12"/>
        <v>1.7109980188551591E-2</v>
      </c>
      <c r="J99" s="69"/>
      <c r="K99" s="68"/>
      <c r="L99" s="194"/>
    </row>
    <row r="100" spans="1:12" x14ac:dyDescent="0.25">
      <c r="A100" s="33" t="s">
        <v>331</v>
      </c>
      <c r="B100" s="10" t="s">
        <v>48</v>
      </c>
      <c r="C100" s="9" t="s">
        <v>26</v>
      </c>
      <c r="D100" s="164">
        <v>194.4</v>
      </c>
      <c r="E100" s="205">
        <v>25.13</v>
      </c>
      <c r="G100" s="175">
        <v>4885.2700000000004</v>
      </c>
      <c r="H100" s="69"/>
      <c r="I100" s="146">
        <f t="shared" si="12"/>
        <v>2.161757798439913E-3</v>
      </c>
      <c r="J100" s="69"/>
      <c r="K100" s="68"/>
      <c r="L100" s="194"/>
    </row>
    <row r="101" spans="1:12" x14ac:dyDescent="0.25">
      <c r="A101" s="33" t="s">
        <v>332</v>
      </c>
      <c r="B101" s="10" t="s">
        <v>50</v>
      </c>
      <c r="C101" s="9" t="s">
        <v>26</v>
      </c>
      <c r="D101" s="164">
        <v>4.8600000000000003</v>
      </c>
      <c r="E101" s="205">
        <v>900.01</v>
      </c>
      <c r="G101" s="175">
        <v>4374.05</v>
      </c>
      <c r="H101" s="69"/>
      <c r="I101" s="146">
        <f t="shared" si="12"/>
        <v>1.9355402461411757E-3</v>
      </c>
      <c r="J101" s="69"/>
      <c r="K101" s="68"/>
      <c r="L101" s="194"/>
    </row>
    <row r="102" spans="1:12" x14ac:dyDescent="0.25">
      <c r="A102" s="33" t="s">
        <v>333</v>
      </c>
      <c r="B102" s="10" t="s">
        <v>52</v>
      </c>
      <c r="C102" s="9" t="s">
        <v>26</v>
      </c>
      <c r="D102" s="164">
        <v>4.8600000000000003</v>
      </c>
      <c r="E102" s="205">
        <v>1002.12</v>
      </c>
      <c r="G102" s="175">
        <v>4870.3</v>
      </c>
      <c r="H102" s="69"/>
      <c r="I102" s="146">
        <f t="shared" si="12"/>
        <v>2.155133494308791E-3</v>
      </c>
      <c r="J102" s="69"/>
      <c r="K102" s="68"/>
      <c r="L102" s="194"/>
    </row>
    <row r="103" spans="1:12" x14ac:dyDescent="0.25">
      <c r="A103" s="33" t="s">
        <v>334</v>
      </c>
      <c r="B103" s="10" t="s">
        <v>54</v>
      </c>
      <c r="C103" s="9" t="s">
        <v>26</v>
      </c>
      <c r="D103" s="164">
        <v>121.5</v>
      </c>
      <c r="E103" s="205">
        <v>1037.21</v>
      </c>
      <c r="G103" s="175">
        <v>126021.01</v>
      </c>
      <c r="H103" s="69"/>
      <c r="I103" s="146">
        <f t="shared" si="12"/>
        <v>5.5764963069548708E-2</v>
      </c>
      <c r="J103" s="69"/>
      <c r="K103" s="68"/>
      <c r="L103" s="194"/>
    </row>
    <row r="104" spans="1:12" x14ac:dyDescent="0.25">
      <c r="A104" s="33" t="s">
        <v>335</v>
      </c>
      <c r="B104" s="10" t="s">
        <v>56</v>
      </c>
      <c r="C104" s="9" t="s">
        <v>57</v>
      </c>
      <c r="D104" s="164">
        <v>121.5</v>
      </c>
      <c r="E104" s="205">
        <v>45.3</v>
      </c>
      <c r="G104" s="175">
        <v>5503.95</v>
      </c>
      <c r="H104" s="69"/>
      <c r="I104" s="146">
        <f t="shared" si="12"/>
        <v>2.4355269687700697E-3</v>
      </c>
      <c r="J104" s="69"/>
      <c r="K104" s="68"/>
      <c r="L104" s="194"/>
    </row>
    <row r="105" spans="1:12" x14ac:dyDescent="0.25">
      <c r="A105" s="33" t="s">
        <v>336</v>
      </c>
      <c r="B105" s="10" t="s">
        <v>59</v>
      </c>
      <c r="C105" s="9" t="s">
        <v>20</v>
      </c>
      <c r="D105" s="164">
        <v>243</v>
      </c>
      <c r="E105" s="205">
        <v>106.17</v>
      </c>
      <c r="G105" s="175">
        <v>25799.31</v>
      </c>
      <c r="H105" s="69"/>
      <c r="I105" s="146">
        <f t="shared" si="12"/>
        <v>1.1416331049638778E-2</v>
      </c>
      <c r="J105" s="69"/>
      <c r="K105" s="68"/>
      <c r="L105" s="194"/>
    </row>
    <row r="106" spans="1:12" x14ac:dyDescent="0.25">
      <c r="A106" s="33" t="s">
        <v>337</v>
      </c>
      <c r="B106" s="10" t="s">
        <v>61</v>
      </c>
      <c r="C106" s="9" t="s">
        <v>26</v>
      </c>
      <c r="D106" s="164">
        <v>194.4</v>
      </c>
      <c r="E106" s="205">
        <v>56.85</v>
      </c>
      <c r="G106" s="175">
        <v>11051.64</v>
      </c>
      <c r="H106" s="69"/>
      <c r="I106" s="146">
        <f t="shared" si="12"/>
        <v>4.8904091187489075E-3</v>
      </c>
      <c r="J106" s="69"/>
      <c r="K106" s="68"/>
      <c r="L106" s="194"/>
    </row>
    <row r="107" spans="1:12" x14ac:dyDescent="0.25">
      <c r="A107" s="33" t="s">
        <v>338</v>
      </c>
      <c r="B107" s="10" t="s">
        <v>63</v>
      </c>
      <c r="C107" s="9" t="s">
        <v>20</v>
      </c>
      <c r="D107" s="164">
        <v>194.4</v>
      </c>
      <c r="E107" s="205">
        <v>76.84</v>
      </c>
      <c r="G107" s="175">
        <v>14937.7</v>
      </c>
      <c r="H107" s="69"/>
      <c r="I107" s="146">
        <f t="shared" si="12"/>
        <v>6.6100112103846644E-3</v>
      </c>
      <c r="J107" s="69"/>
      <c r="K107" s="68"/>
      <c r="L107" s="194"/>
    </row>
    <row r="108" spans="1:12" x14ac:dyDescent="0.25">
      <c r="A108" s="33" t="s">
        <v>339</v>
      </c>
      <c r="B108" s="10" t="s">
        <v>65</v>
      </c>
      <c r="C108" s="9" t="s">
        <v>42</v>
      </c>
      <c r="D108" s="164">
        <v>3037.5</v>
      </c>
      <c r="E108" s="205">
        <v>11.15</v>
      </c>
      <c r="G108" s="175">
        <v>33868.129999999997</v>
      </c>
      <c r="H108" s="69"/>
      <c r="I108" s="146">
        <f t="shared" si="12"/>
        <v>1.4986826551260577E-2</v>
      </c>
      <c r="J108" s="69"/>
      <c r="K108" s="68"/>
      <c r="L108" s="194"/>
    </row>
    <row r="109" spans="1:12" x14ac:dyDescent="0.25">
      <c r="A109" s="33" t="s">
        <v>340</v>
      </c>
      <c r="B109" s="10" t="s">
        <v>67</v>
      </c>
      <c r="C109" s="9" t="s">
        <v>26</v>
      </c>
      <c r="D109" s="164">
        <v>194.4</v>
      </c>
      <c r="E109" s="205">
        <v>734.02</v>
      </c>
      <c r="G109" s="175">
        <v>142693.49</v>
      </c>
      <c r="H109" s="69"/>
      <c r="I109" s="146">
        <f t="shared" si="12"/>
        <v>6.3142623599945893E-2</v>
      </c>
      <c r="J109" s="69"/>
      <c r="K109" s="68"/>
      <c r="L109" s="194"/>
    </row>
    <row r="110" spans="1:12" x14ac:dyDescent="0.25">
      <c r="A110" s="32" t="s">
        <v>185</v>
      </c>
      <c r="B110" s="8" t="s">
        <v>69</v>
      </c>
      <c r="C110" s="9"/>
      <c r="D110" s="164"/>
      <c r="E110" s="205"/>
      <c r="G110" s="126"/>
      <c r="H110" s="143">
        <f>G111+G113</f>
        <v>19232.349999999999</v>
      </c>
      <c r="I110" s="145">
        <f t="shared" si="11"/>
        <v>8.5104165368190196E-3</v>
      </c>
      <c r="J110" s="69"/>
      <c r="K110" s="68"/>
      <c r="L110" s="194"/>
    </row>
    <row r="111" spans="1:12" x14ac:dyDescent="0.25">
      <c r="A111" s="32" t="s">
        <v>186</v>
      </c>
      <c r="B111" s="8" t="s">
        <v>71</v>
      </c>
      <c r="C111" s="9"/>
      <c r="D111" s="164"/>
      <c r="E111" s="205"/>
      <c r="G111" s="126">
        <v>11364.6</v>
      </c>
      <c r="H111" s="69"/>
      <c r="I111" s="146">
        <f>G111/$K$85</f>
        <v>5.028895573049235E-3</v>
      </c>
      <c r="J111" s="69"/>
      <c r="K111" s="68"/>
      <c r="L111" s="194"/>
    </row>
    <row r="112" spans="1:12" x14ac:dyDescent="0.25">
      <c r="A112" s="33" t="s">
        <v>187</v>
      </c>
      <c r="B112" s="10" t="s">
        <v>73</v>
      </c>
      <c r="C112" s="9" t="s">
        <v>57</v>
      </c>
      <c r="D112" s="164">
        <v>372</v>
      </c>
      <c r="E112" s="205">
        <v>30.55</v>
      </c>
      <c r="G112" s="175">
        <v>11364.6</v>
      </c>
      <c r="H112" s="69"/>
      <c r="I112" s="146">
        <f t="shared" ref="I112:I114" si="13">G112/$K$85</f>
        <v>5.028895573049235E-3</v>
      </c>
      <c r="J112" s="69"/>
      <c r="K112" s="68"/>
      <c r="L112" s="194"/>
    </row>
    <row r="113" spans="1:12" x14ac:dyDescent="0.25">
      <c r="A113" s="32" t="s">
        <v>188</v>
      </c>
      <c r="B113" s="8" t="s">
        <v>75</v>
      </c>
      <c r="C113" s="9"/>
      <c r="D113" s="164"/>
      <c r="E113" s="205"/>
      <c r="G113" s="126">
        <v>7867.75</v>
      </c>
      <c r="H113" s="69"/>
      <c r="I113" s="146">
        <f t="shared" si="13"/>
        <v>3.4815209637697863E-3</v>
      </c>
      <c r="J113" s="69"/>
      <c r="K113" s="68"/>
      <c r="L113" s="194"/>
    </row>
    <row r="114" spans="1:12" ht="25.5" x14ac:dyDescent="0.25">
      <c r="A114" s="33" t="s">
        <v>189</v>
      </c>
      <c r="B114" s="10" t="s">
        <v>77</v>
      </c>
      <c r="C114" s="9" t="s">
        <v>26</v>
      </c>
      <c r="D114" s="164">
        <v>4.5999999999999996</v>
      </c>
      <c r="E114" s="205">
        <v>1710.38</v>
      </c>
      <c r="G114" s="175">
        <v>7867.75</v>
      </c>
      <c r="H114" s="69"/>
      <c r="I114" s="146">
        <f t="shared" si="13"/>
        <v>3.4815209637697863E-3</v>
      </c>
      <c r="J114" s="69"/>
      <c r="K114" s="68"/>
      <c r="L114" s="194"/>
    </row>
    <row r="115" spans="1:12" x14ac:dyDescent="0.25">
      <c r="A115" s="33"/>
      <c r="B115" s="10"/>
      <c r="C115" s="9"/>
      <c r="D115" s="164"/>
      <c r="E115" s="205"/>
      <c r="G115" s="175"/>
      <c r="H115" s="69"/>
      <c r="I115" s="152"/>
      <c r="J115" s="69"/>
      <c r="K115" s="68"/>
      <c r="L115" s="194"/>
    </row>
    <row r="116" spans="1:12" x14ac:dyDescent="0.25">
      <c r="A116" s="32">
        <v>5</v>
      </c>
      <c r="B116" s="8" t="s">
        <v>559</v>
      </c>
      <c r="C116" s="9"/>
      <c r="D116" s="164"/>
      <c r="E116" s="205"/>
      <c r="G116" s="126"/>
      <c r="H116" s="69"/>
      <c r="I116" s="152"/>
      <c r="J116" s="69"/>
      <c r="K116" s="68">
        <f>SUM(H117:H141)</f>
        <v>229768.93000000002</v>
      </c>
      <c r="L116" s="169">
        <f>K116/$G$253</f>
        <v>4.2727910933054981E-2</v>
      </c>
    </row>
    <row r="117" spans="1:12" x14ac:dyDescent="0.25">
      <c r="A117" s="32" t="s">
        <v>191</v>
      </c>
      <c r="B117" s="8" t="s">
        <v>15</v>
      </c>
      <c r="C117" s="9"/>
      <c r="D117" s="164"/>
      <c r="E117" s="205"/>
      <c r="G117" s="126"/>
      <c r="H117" s="143">
        <f>G118</f>
        <v>2798.34</v>
      </c>
      <c r="I117" s="145">
        <f>H117/$K$116</f>
        <v>1.2178931241922047E-2</v>
      </c>
      <c r="J117" s="69"/>
      <c r="K117" s="68"/>
      <c r="L117" s="194"/>
    </row>
    <row r="118" spans="1:12" x14ac:dyDescent="0.25">
      <c r="A118" s="32" t="s">
        <v>192</v>
      </c>
      <c r="B118" s="8" t="s">
        <v>17</v>
      </c>
      <c r="C118" s="9"/>
      <c r="D118" s="164"/>
      <c r="E118" s="205"/>
      <c r="G118" s="126">
        <v>2798.34</v>
      </c>
      <c r="H118" s="69"/>
      <c r="I118" s="146">
        <f>G118/$K$116</f>
        <v>1.2178931241922047E-2</v>
      </c>
      <c r="J118" s="69"/>
      <c r="K118" s="68"/>
      <c r="L118" s="194"/>
    </row>
    <row r="119" spans="1:12" x14ac:dyDescent="0.25">
      <c r="A119" s="33" t="s">
        <v>193</v>
      </c>
      <c r="B119" s="10" t="s">
        <v>19</v>
      </c>
      <c r="C119" s="9" t="s">
        <v>20</v>
      </c>
      <c r="D119" s="164">
        <v>102</v>
      </c>
      <c r="E119" s="205">
        <v>4.38</v>
      </c>
      <c r="G119" s="175">
        <v>446.76</v>
      </c>
      <c r="H119" s="69"/>
      <c r="I119" s="146">
        <f t="shared" ref="I119:I122" si="14">G119/$K$116</f>
        <v>1.94438821645729E-3</v>
      </c>
      <c r="J119" s="69"/>
      <c r="K119" s="68"/>
      <c r="L119" s="194"/>
    </row>
    <row r="120" spans="1:12" x14ac:dyDescent="0.25">
      <c r="A120" s="33" t="s">
        <v>194</v>
      </c>
      <c r="B120" s="10" t="s">
        <v>22</v>
      </c>
      <c r="C120" s="9" t="s">
        <v>23</v>
      </c>
      <c r="D120" s="164">
        <v>2.5499999999999998</v>
      </c>
      <c r="E120" s="205">
        <v>217.25</v>
      </c>
      <c r="G120" s="175">
        <v>553.99</v>
      </c>
      <c r="H120" s="69"/>
      <c r="I120" s="146">
        <f t="shared" si="14"/>
        <v>2.4110744651158881E-3</v>
      </c>
      <c r="J120" s="69"/>
      <c r="K120" s="68"/>
      <c r="L120" s="194"/>
    </row>
    <row r="121" spans="1:12" x14ac:dyDescent="0.25">
      <c r="A121" s="33" t="s">
        <v>195</v>
      </c>
      <c r="B121" s="10" t="s">
        <v>25</v>
      </c>
      <c r="C121" s="9" t="s">
        <v>26</v>
      </c>
      <c r="D121" s="164">
        <v>30.6</v>
      </c>
      <c r="E121" s="205">
        <v>17.54</v>
      </c>
      <c r="G121" s="175">
        <v>536.72</v>
      </c>
      <c r="H121" s="69"/>
      <c r="I121" s="146">
        <f t="shared" si="14"/>
        <v>2.3359119964566138E-3</v>
      </c>
      <c r="J121" s="69"/>
      <c r="K121" s="68"/>
      <c r="L121" s="194"/>
    </row>
    <row r="122" spans="1:12" x14ac:dyDescent="0.25">
      <c r="A122" s="33" t="s">
        <v>196</v>
      </c>
      <c r="B122" s="10" t="s">
        <v>28</v>
      </c>
      <c r="C122" s="9" t="s">
        <v>29</v>
      </c>
      <c r="D122" s="164">
        <v>615.05999999999995</v>
      </c>
      <c r="E122" s="205">
        <v>2.0499999999999998</v>
      </c>
      <c r="G122" s="175">
        <v>1260.8699999999999</v>
      </c>
      <c r="H122" s="69"/>
      <c r="I122" s="146">
        <f t="shared" si="14"/>
        <v>5.4875565638922534E-3</v>
      </c>
      <c r="J122" s="69"/>
      <c r="K122" s="68"/>
      <c r="L122" s="194"/>
    </row>
    <row r="123" spans="1:12" x14ac:dyDescent="0.25">
      <c r="A123" s="32" t="s">
        <v>201</v>
      </c>
      <c r="B123" s="8" t="s">
        <v>31</v>
      </c>
      <c r="C123" s="9"/>
      <c r="D123" s="164"/>
      <c r="E123" s="205"/>
      <c r="G123" s="126"/>
      <c r="H123" s="143">
        <f>G124</f>
        <v>225931.89</v>
      </c>
      <c r="I123" s="145">
        <f t="shared" ref="I123:I139" si="15">H123/$K$116</f>
        <v>0.98330044014218976</v>
      </c>
      <c r="J123" s="69"/>
      <c r="K123" s="68"/>
      <c r="L123" s="194"/>
    </row>
    <row r="124" spans="1:12" x14ac:dyDescent="0.25">
      <c r="A124" s="32" t="s">
        <v>202</v>
      </c>
      <c r="B124" s="8" t="s">
        <v>37</v>
      </c>
      <c r="C124" s="9"/>
      <c r="D124" s="164"/>
      <c r="E124" s="205"/>
      <c r="G124" s="126">
        <v>225931.89</v>
      </c>
      <c r="H124" s="69"/>
      <c r="I124" s="146">
        <f>G124/$K$116</f>
        <v>0.98330044014218976</v>
      </c>
      <c r="J124" s="69"/>
      <c r="K124" s="68"/>
      <c r="L124" s="194"/>
    </row>
    <row r="125" spans="1:12" x14ac:dyDescent="0.25">
      <c r="A125" s="33" t="s">
        <v>203</v>
      </c>
      <c r="B125" s="10" t="s">
        <v>39</v>
      </c>
      <c r="C125" s="9" t="s">
        <v>26</v>
      </c>
      <c r="D125" s="164">
        <v>40.799999999999997</v>
      </c>
      <c r="E125" s="205">
        <v>641.26</v>
      </c>
      <c r="G125" s="175">
        <v>26163.41</v>
      </c>
      <c r="H125" s="69"/>
      <c r="I125" s="146">
        <f t="shared" ref="I125:I138" si="16">G125/$K$116</f>
        <v>0.11386835461173971</v>
      </c>
      <c r="J125" s="69"/>
      <c r="K125" s="68"/>
      <c r="L125" s="194"/>
    </row>
    <row r="126" spans="1:12" x14ac:dyDescent="0.25">
      <c r="A126" s="33" t="s">
        <v>583</v>
      </c>
      <c r="B126" s="10" t="s">
        <v>41</v>
      </c>
      <c r="C126" s="9" t="s">
        <v>42</v>
      </c>
      <c r="D126" s="164">
        <v>1020</v>
      </c>
      <c r="E126" s="205">
        <v>8.64</v>
      </c>
      <c r="G126" s="175">
        <v>8812.7999999999993</v>
      </c>
      <c r="H126" s="69"/>
      <c r="I126" s="146">
        <f t="shared" si="16"/>
        <v>3.8355055228746542E-2</v>
      </c>
      <c r="J126" s="69"/>
      <c r="K126" s="68"/>
      <c r="L126" s="194"/>
    </row>
    <row r="127" spans="1:12" x14ac:dyDescent="0.25">
      <c r="A127" s="33" t="s">
        <v>584</v>
      </c>
      <c r="B127" s="10" t="s">
        <v>44</v>
      </c>
      <c r="C127" s="9" t="s">
        <v>42</v>
      </c>
      <c r="D127" s="164">
        <v>1836</v>
      </c>
      <c r="E127" s="205">
        <v>9.66</v>
      </c>
      <c r="G127" s="175">
        <v>17735.759999999998</v>
      </c>
      <c r="H127" s="69"/>
      <c r="I127" s="146">
        <f t="shared" si="16"/>
        <v>7.7189548647852421E-2</v>
      </c>
      <c r="J127" s="69"/>
      <c r="K127" s="68"/>
      <c r="L127" s="194"/>
    </row>
    <row r="128" spans="1:12" x14ac:dyDescent="0.25">
      <c r="A128" s="33" t="s">
        <v>585</v>
      </c>
      <c r="B128" s="10" t="s">
        <v>46</v>
      </c>
      <c r="C128" s="9" t="s">
        <v>42</v>
      </c>
      <c r="D128" s="164">
        <v>1836</v>
      </c>
      <c r="E128" s="205">
        <v>8.84</v>
      </c>
      <c r="G128" s="175">
        <v>16230.24</v>
      </c>
      <c r="H128" s="69"/>
      <c r="I128" s="146">
        <f t="shared" si="16"/>
        <v>7.063722671294155E-2</v>
      </c>
      <c r="J128" s="69"/>
      <c r="K128" s="68"/>
      <c r="L128" s="194"/>
    </row>
    <row r="129" spans="1:12" x14ac:dyDescent="0.25">
      <c r="A129" s="33" t="s">
        <v>586</v>
      </c>
      <c r="B129" s="10" t="s">
        <v>48</v>
      </c>
      <c r="C129" s="9" t="s">
        <v>26</v>
      </c>
      <c r="D129" s="164">
        <v>81.599999999999994</v>
      </c>
      <c r="E129" s="205">
        <v>25.13</v>
      </c>
      <c r="G129" s="175">
        <v>2050.61</v>
      </c>
      <c r="H129" s="69"/>
      <c r="I129" s="146">
        <f t="shared" si="16"/>
        <v>8.9246618330859617E-3</v>
      </c>
      <c r="J129" s="69"/>
      <c r="K129" s="68"/>
      <c r="L129" s="194"/>
    </row>
    <row r="130" spans="1:12" x14ac:dyDescent="0.25">
      <c r="A130" s="33" t="s">
        <v>587</v>
      </c>
      <c r="B130" s="10" t="s">
        <v>50</v>
      </c>
      <c r="C130" s="9" t="s">
        <v>26</v>
      </c>
      <c r="D130" s="164">
        <v>2.04</v>
      </c>
      <c r="E130" s="205">
        <v>900.01</v>
      </c>
      <c r="G130" s="175">
        <v>1836.02</v>
      </c>
      <c r="H130" s="69"/>
      <c r="I130" s="146">
        <f t="shared" si="16"/>
        <v>7.9907235499595171E-3</v>
      </c>
      <c r="J130" s="69"/>
      <c r="K130" s="68"/>
      <c r="L130" s="194"/>
    </row>
    <row r="131" spans="1:12" x14ac:dyDescent="0.25">
      <c r="A131" s="33" t="s">
        <v>588</v>
      </c>
      <c r="B131" s="10" t="s">
        <v>52</v>
      </c>
      <c r="C131" s="9" t="s">
        <v>26</v>
      </c>
      <c r="D131" s="164">
        <v>2.04</v>
      </c>
      <c r="E131" s="205">
        <v>1002.12</v>
      </c>
      <c r="G131" s="175">
        <v>2044.32</v>
      </c>
      <c r="H131" s="69"/>
      <c r="I131" s="146">
        <f t="shared" si="16"/>
        <v>8.8972865043154426E-3</v>
      </c>
      <c r="J131" s="69"/>
      <c r="K131" s="68"/>
      <c r="L131" s="194"/>
    </row>
    <row r="132" spans="1:12" x14ac:dyDescent="0.25">
      <c r="A132" s="33" t="s">
        <v>589</v>
      </c>
      <c r="B132" s="10" t="s">
        <v>54</v>
      </c>
      <c r="C132" s="9" t="s">
        <v>26</v>
      </c>
      <c r="D132" s="164">
        <v>51</v>
      </c>
      <c r="E132" s="205">
        <v>1037.21</v>
      </c>
      <c r="G132" s="175">
        <v>52897.71</v>
      </c>
      <c r="H132" s="69"/>
      <c r="I132" s="146">
        <f t="shared" si="16"/>
        <v>0.23022133584379748</v>
      </c>
      <c r="J132" s="69"/>
      <c r="K132" s="68"/>
      <c r="L132" s="194"/>
    </row>
    <row r="133" spans="1:12" x14ac:dyDescent="0.25">
      <c r="A133" s="33" t="s">
        <v>590</v>
      </c>
      <c r="B133" s="10" t="s">
        <v>56</v>
      </c>
      <c r="C133" s="9" t="s">
        <v>57</v>
      </c>
      <c r="D133" s="164">
        <v>51</v>
      </c>
      <c r="E133" s="205">
        <v>45.3</v>
      </c>
      <c r="G133" s="175">
        <v>2310.3000000000002</v>
      </c>
      <c r="H133" s="69"/>
      <c r="I133" s="146">
        <f t="shared" si="16"/>
        <v>1.0054884270035988E-2</v>
      </c>
      <c r="J133" s="69"/>
      <c r="K133" s="68"/>
      <c r="L133" s="194"/>
    </row>
    <row r="134" spans="1:12" x14ac:dyDescent="0.25">
      <c r="A134" s="33" t="s">
        <v>591</v>
      </c>
      <c r="B134" s="10" t="s">
        <v>59</v>
      </c>
      <c r="C134" s="9" t="s">
        <v>20</v>
      </c>
      <c r="D134" s="164">
        <v>102</v>
      </c>
      <c r="E134" s="205">
        <v>106.17</v>
      </c>
      <c r="G134" s="175">
        <v>10829.34</v>
      </c>
      <c r="H134" s="69"/>
      <c r="I134" s="146">
        <f t="shared" si="16"/>
        <v>4.7131437657824314E-2</v>
      </c>
      <c r="J134" s="69"/>
      <c r="K134" s="68"/>
      <c r="L134" s="194"/>
    </row>
    <row r="135" spans="1:12" x14ac:dyDescent="0.25">
      <c r="A135" s="33" t="s">
        <v>592</v>
      </c>
      <c r="B135" s="10" t="s">
        <v>61</v>
      </c>
      <c r="C135" s="9" t="s">
        <v>26</v>
      </c>
      <c r="D135" s="164">
        <v>81.599999999999994</v>
      </c>
      <c r="E135" s="205">
        <v>56.85</v>
      </c>
      <c r="G135" s="175">
        <v>4638.96</v>
      </c>
      <c r="H135" s="69"/>
      <c r="I135" s="146">
        <f t="shared" si="16"/>
        <v>2.0189674905131863E-2</v>
      </c>
      <c r="J135" s="69"/>
      <c r="K135" s="68"/>
      <c r="L135" s="194"/>
    </row>
    <row r="136" spans="1:12" x14ac:dyDescent="0.25">
      <c r="A136" s="33" t="s">
        <v>593</v>
      </c>
      <c r="B136" s="10" t="s">
        <v>63</v>
      </c>
      <c r="C136" s="9" t="s">
        <v>20</v>
      </c>
      <c r="D136" s="164">
        <v>81.599999999999994</v>
      </c>
      <c r="E136" s="205">
        <v>76.84</v>
      </c>
      <c r="G136" s="175">
        <v>6270.14</v>
      </c>
      <c r="H136" s="69"/>
      <c r="I136" s="146">
        <f t="shared" si="16"/>
        <v>2.7288894107658505E-2</v>
      </c>
      <c r="J136" s="69"/>
      <c r="K136" s="68"/>
      <c r="L136" s="194"/>
    </row>
    <row r="137" spans="1:12" x14ac:dyDescent="0.25">
      <c r="A137" s="33" t="s">
        <v>594</v>
      </c>
      <c r="B137" s="10" t="s">
        <v>65</v>
      </c>
      <c r="C137" s="9" t="s">
        <v>42</v>
      </c>
      <c r="D137" s="164">
        <v>1275</v>
      </c>
      <c r="E137" s="205">
        <v>11.15</v>
      </c>
      <c r="G137" s="175">
        <v>14216.25</v>
      </c>
      <c r="H137" s="69"/>
      <c r="I137" s="146">
        <f t="shared" si="16"/>
        <v>6.1871942390122107E-2</v>
      </c>
      <c r="J137" s="69"/>
      <c r="K137" s="68"/>
      <c r="L137" s="194"/>
    </row>
    <row r="138" spans="1:12" x14ac:dyDescent="0.25">
      <c r="A138" s="33" t="s">
        <v>595</v>
      </c>
      <c r="B138" s="10" t="s">
        <v>67</v>
      </c>
      <c r="C138" s="9" t="s">
        <v>26</v>
      </c>
      <c r="D138" s="164">
        <v>81.599999999999994</v>
      </c>
      <c r="E138" s="205">
        <v>734.02</v>
      </c>
      <c r="G138" s="175">
        <v>59896.03</v>
      </c>
      <c r="H138" s="69"/>
      <c r="I138" s="146">
        <f t="shared" si="16"/>
        <v>0.26067941387897831</v>
      </c>
      <c r="J138" s="69"/>
      <c r="K138" s="68"/>
      <c r="L138" s="194"/>
    </row>
    <row r="139" spans="1:12" x14ac:dyDescent="0.25">
      <c r="A139" s="32" t="s">
        <v>345</v>
      </c>
      <c r="B139" s="8" t="s">
        <v>69</v>
      </c>
      <c r="C139" s="9"/>
      <c r="D139" s="164"/>
      <c r="E139" s="205"/>
      <c r="G139" s="126"/>
      <c r="H139" s="143">
        <f>G140</f>
        <v>1038.7</v>
      </c>
      <c r="I139" s="145">
        <f t="shared" si="15"/>
        <v>4.5206286158881448E-3</v>
      </c>
      <c r="J139" s="69"/>
      <c r="K139" s="68"/>
      <c r="L139" s="194"/>
    </row>
    <row r="140" spans="1:12" x14ac:dyDescent="0.25">
      <c r="A140" s="32" t="s">
        <v>346</v>
      </c>
      <c r="B140" s="8" t="s">
        <v>71</v>
      </c>
      <c r="C140" s="9"/>
      <c r="D140" s="164"/>
      <c r="E140" s="205"/>
      <c r="G140" s="126">
        <v>1038.7</v>
      </c>
      <c r="H140" s="69"/>
      <c r="I140" s="146">
        <f>G140/$K$116</f>
        <v>4.5206286158881448E-3</v>
      </c>
      <c r="J140" s="69"/>
      <c r="K140" s="68"/>
      <c r="L140" s="194"/>
    </row>
    <row r="141" spans="1:12" x14ac:dyDescent="0.25">
      <c r="A141" s="33" t="s">
        <v>347</v>
      </c>
      <c r="B141" s="10" t="s">
        <v>73</v>
      </c>
      <c r="C141" s="9" t="s">
        <v>57</v>
      </c>
      <c r="D141" s="164">
        <v>34</v>
      </c>
      <c r="E141" s="205">
        <v>30.55</v>
      </c>
      <c r="G141" s="175">
        <v>1038.7</v>
      </c>
      <c r="H141" s="69"/>
      <c r="I141" s="146">
        <f>G141/$K$116</f>
        <v>4.5206286158881448E-3</v>
      </c>
      <c r="J141" s="69"/>
      <c r="K141" s="68"/>
      <c r="L141" s="194"/>
    </row>
    <row r="142" spans="1:12" x14ac:dyDescent="0.25">
      <c r="A142" s="33"/>
      <c r="B142" s="10"/>
      <c r="C142" s="9"/>
      <c r="D142" s="164"/>
      <c r="E142" s="205"/>
      <c r="G142" s="175"/>
      <c r="H142" s="69"/>
      <c r="I142" s="152"/>
      <c r="J142" s="69"/>
      <c r="K142" s="68"/>
      <c r="L142" s="194"/>
    </row>
    <row r="143" spans="1:12" x14ac:dyDescent="0.25">
      <c r="A143" s="32">
        <v>6</v>
      </c>
      <c r="B143" s="8" t="s">
        <v>596</v>
      </c>
      <c r="C143" s="9"/>
      <c r="D143" s="164"/>
      <c r="E143" s="205"/>
      <c r="G143" s="126"/>
      <c r="H143" s="69"/>
      <c r="I143" s="152"/>
      <c r="J143" s="69"/>
      <c r="K143" s="68">
        <f>SUM(H144:H155)</f>
        <v>155966.44999999998</v>
      </c>
      <c r="L143" s="169">
        <f>K143/$G$253</f>
        <v>2.90035758278753E-2</v>
      </c>
    </row>
    <row r="144" spans="1:12" x14ac:dyDescent="0.25">
      <c r="A144" s="32" t="s">
        <v>207</v>
      </c>
      <c r="B144" s="8" t="s">
        <v>15</v>
      </c>
      <c r="C144" s="9"/>
      <c r="D144" s="164"/>
      <c r="E144" s="205"/>
      <c r="G144" s="126"/>
      <c r="H144" s="143">
        <f>G145</f>
        <v>5432.09</v>
      </c>
      <c r="I144" s="145">
        <f>H144/$K$143</f>
        <v>3.4828580120917038E-2</v>
      </c>
      <c r="J144" s="69"/>
      <c r="K144" s="68"/>
      <c r="L144" s="194"/>
    </row>
    <row r="145" spans="1:12" x14ac:dyDescent="0.25">
      <c r="A145" s="32" t="s">
        <v>209</v>
      </c>
      <c r="B145" s="8" t="s">
        <v>17</v>
      </c>
      <c r="C145" s="9"/>
      <c r="D145" s="164"/>
      <c r="E145" s="205"/>
      <c r="G145" s="126">
        <v>5432.09</v>
      </c>
      <c r="H145" s="69"/>
      <c r="I145" s="146">
        <f>G145/$K$143</f>
        <v>3.4828580120917038E-2</v>
      </c>
      <c r="J145" s="69"/>
      <c r="K145" s="68"/>
      <c r="L145" s="194"/>
    </row>
    <row r="146" spans="1:12" x14ac:dyDescent="0.25">
      <c r="A146" s="33" t="s">
        <v>210</v>
      </c>
      <c r="B146" s="10" t="s">
        <v>19</v>
      </c>
      <c r="C146" s="9" t="s">
        <v>20</v>
      </c>
      <c r="D146" s="164">
        <v>198</v>
      </c>
      <c r="E146" s="205">
        <v>4.38</v>
      </c>
      <c r="G146" s="175">
        <v>867.24</v>
      </c>
      <c r="H146" s="69"/>
      <c r="I146" s="146">
        <f t="shared" ref="I146:I149" si="17">G146/$K$143</f>
        <v>5.5604266173911124E-3</v>
      </c>
      <c r="J146" s="69"/>
      <c r="K146" s="68"/>
      <c r="L146" s="194"/>
    </row>
    <row r="147" spans="1:12" x14ac:dyDescent="0.25">
      <c r="A147" s="33" t="s">
        <v>597</v>
      </c>
      <c r="B147" s="10" t="s">
        <v>22</v>
      </c>
      <c r="C147" s="9" t="s">
        <v>23</v>
      </c>
      <c r="D147" s="164">
        <v>4.95</v>
      </c>
      <c r="E147" s="205">
        <v>217.25</v>
      </c>
      <c r="G147" s="175">
        <v>1075.3900000000001</v>
      </c>
      <c r="H147" s="69"/>
      <c r="I147" s="146">
        <f t="shared" si="17"/>
        <v>6.895008509842984E-3</v>
      </c>
      <c r="J147" s="69"/>
      <c r="K147" s="68"/>
      <c r="L147" s="194"/>
    </row>
    <row r="148" spans="1:12" x14ac:dyDescent="0.25">
      <c r="A148" s="33" t="s">
        <v>598</v>
      </c>
      <c r="B148" s="10" t="s">
        <v>25</v>
      </c>
      <c r="C148" s="9" t="s">
        <v>26</v>
      </c>
      <c r="D148" s="164">
        <v>59.4</v>
      </c>
      <c r="E148" s="205">
        <v>17.54</v>
      </c>
      <c r="G148" s="175">
        <v>1041.8800000000001</v>
      </c>
      <c r="H148" s="69"/>
      <c r="I148" s="146">
        <f t="shared" si="17"/>
        <v>6.6801546101741766E-3</v>
      </c>
      <c r="J148" s="69"/>
      <c r="K148" s="68"/>
      <c r="L148" s="194"/>
    </row>
    <row r="149" spans="1:12" x14ac:dyDescent="0.25">
      <c r="A149" s="33" t="s">
        <v>599</v>
      </c>
      <c r="B149" s="10" t="s">
        <v>28</v>
      </c>
      <c r="C149" s="9" t="s">
        <v>29</v>
      </c>
      <c r="D149" s="164">
        <v>1193.94</v>
      </c>
      <c r="E149" s="205">
        <v>2.0499999999999998</v>
      </c>
      <c r="G149" s="175">
        <v>2447.58</v>
      </c>
      <c r="H149" s="69"/>
      <c r="I149" s="146">
        <f t="shared" si="17"/>
        <v>1.5692990383508763E-2</v>
      </c>
      <c r="J149" s="69"/>
      <c r="K149" s="68"/>
      <c r="L149" s="194"/>
    </row>
    <row r="150" spans="1:12" x14ac:dyDescent="0.25">
      <c r="A150" s="32" t="s">
        <v>214</v>
      </c>
      <c r="B150" s="8" t="s">
        <v>31</v>
      </c>
      <c r="C150" s="9"/>
      <c r="D150" s="164"/>
      <c r="E150" s="205"/>
      <c r="G150" s="126"/>
      <c r="H150" s="143">
        <f>G151</f>
        <v>149434.56</v>
      </c>
      <c r="I150" s="145">
        <f t="shared" ref="I150" si="18">H150/$K$143</f>
        <v>0.95811990335100927</v>
      </c>
      <c r="J150" s="69"/>
      <c r="K150" s="68"/>
      <c r="L150" s="194"/>
    </row>
    <row r="151" spans="1:12" x14ac:dyDescent="0.25">
      <c r="A151" s="32" t="s">
        <v>216</v>
      </c>
      <c r="B151" s="8" t="s">
        <v>33</v>
      </c>
      <c r="C151" s="9"/>
      <c r="D151" s="164"/>
      <c r="E151" s="205"/>
      <c r="G151" s="126">
        <v>149434.56</v>
      </c>
      <c r="H151" s="69"/>
      <c r="I151" s="146">
        <f>G151/$K$143</f>
        <v>0.95811990335100927</v>
      </c>
      <c r="J151" s="69"/>
      <c r="K151" s="68"/>
      <c r="L151" s="194"/>
    </row>
    <row r="152" spans="1:12" ht="25.5" x14ac:dyDescent="0.25">
      <c r="A152" s="33" t="s">
        <v>218</v>
      </c>
      <c r="B152" s="10" t="s">
        <v>35</v>
      </c>
      <c r="C152" s="9" t="s">
        <v>20</v>
      </c>
      <c r="D152" s="164">
        <v>198</v>
      </c>
      <c r="E152" s="205">
        <v>754.72</v>
      </c>
      <c r="G152" s="175">
        <v>149434.56</v>
      </c>
      <c r="H152" s="69"/>
      <c r="I152" s="146">
        <f>G152/$K$143</f>
        <v>0.95811990335100927</v>
      </c>
      <c r="J152" s="69"/>
      <c r="K152" s="68"/>
      <c r="L152" s="194"/>
    </row>
    <row r="153" spans="1:12" x14ac:dyDescent="0.25">
      <c r="A153" s="32" t="s">
        <v>253</v>
      </c>
      <c r="B153" s="8" t="s">
        <v>69</v>
      </c>
      <c r="C153" s="9"/>
      <c r="D153" s="164"/>
      <c r="E153" s="205"/>
      <c r="G153" s="126"/>
      <c r="H153" s="143">
        <f>G154</f>
        <v>1099.8</v>
      </c>
      <c r="I153" s="145">
        <f>H153/$K$143</f>
        <v>7.0515165280738267E-3</v>
      </c>
      <c r="J153" s="69"/>
      <c r="K153" s="68"/>
      <c r="L153" s="194"/>
    </row>
    <row r="154" spans="1:12" x14ac:dyDescent="0.25">
      <c r="A154" s="32" t="s">
        <v>255</v>
      </c>
      <c r="B154" s="8" t="s">
        <v>71</v>
      </c>
      <c r="C154" s="9"/>
      <c r="D154" s="164"/>
      <c r="E154" s="205"/>
      <c r="G154" s="126">
        <v>1099.8</v>
      </c>
      <c r="H154" s="69"/>
      <c r="I154" s="146">
        <f>G154/$K$143</f>
        <v>7.0515165280738267E-3</v>
      </c>
      <c r="J154" s="69"/>
      <c r="K154" s="68"/>
      <c r="L154" s="194"/>
    </row>
    <row r="155" spans="1:12" x14ac:dyDescent="0.25">
      <c r="A155" s="33" t="s">
        <v>257</v>
      </c>
      <c r="B155" s="10" t="s">
        <v>73</v>
      </c>
      <c r="C155" s="9" t="s">
        <v>57</v>
      </c>
      <c r="D155" s="164">
        <v>36</v>
      </c>
      <c r="E155" s="205">
        <v>30.55</v>
      </c>
      <c r="G155" s="175">
        <v>1099.8</v>
      </c>
      <c r="H155" s="69"/>
      <c r="I155" s="146">
        <f>G155/$K$143</f>
        <v>7.0515165280738267E-3</v>
      </c>
      <c r="J155" s="69"/>
      <c r="K155" s="68"/>
      <c r="L155" s="194"/>
    </row>
    <row r="156" spans="1:12" x14ac:dyDescent="0.25">
      <c r="A156" s="33"/>
      <c r="B156" s="10"/>
      <c r="C156" s="9"/>
      <c r="D156" s="164"/>
      <c r="E156" s="205"/>
      <c r="G156" s="175"/>
      <c r="H156" s="69"/>
      <c r="I156" s="152"/>
      <c r="J156" s="69"/>
      <c r="K156" s="68"/>
      <c r="L156" s="194"/>
    </row>
    <row r="157" spans="1:12" x14ac:dyDescent="0.25">
      <c r="A157" s="32">
        <v>7</v>
      </c>
      <c r="B157" s="8" t="s">
        <v>600</v>
      </c>
      <c r="C157" s="9"/>
      <c r="D157" s="164"/>
      <c r="E157" s="205"/>
      <c r="G157" s="126"/>
      <c r="H157" s="69"/>
      <c r="I157" s="152"/>
      <c r="J157" s="69"/>
      <c r="K157" s="68">
        <f>SUM(H157:H184)</f>
        <v>349817.36000000004</v>
      </c>
      <c r="L157" s="169">
        <f>K157/$G$253</f>
        <v>6.5052159144913246E-2</v>
      </c>
    </row>
    <row r="158" spans="1:12" x14ac:dyDescent="0.25">
      <c r="A158" s="32" t="s">
        <v>601</v>
      </c>
      <c r="B158" s="8" t="s">
        <v>15</v>
      </c>
      <c r="C158" s="9"/>
      <c r="D158" s="164"/>
      <c r="E158" s="205"/>
      <c r="G158" s="126"/>
      <c r="H158" s="143">
        <f>G159</f>
        <v>6968.43</v>
      </c>
      <c r="I158" s="145">
        <f>H158/$K$157</f>
        <v>1.992019492686126E-2</v>
      </c>
      <c r="J158" s="69"/>
      <c r="K158" s="68"/>
      <c r="L158" s="194"/>
    </row>
    <row r="159" spans="1:12" x14ac:dyDescent="0.25">
      <c r="A159" s="32" t="s">
        <v>602</v>
      </c>
      <c r="B159" s="8" t="s">
        <v>17</v>
      </c>
      <c r="C159" s="9"/>
      <c r="D159" s="164"/>
      <c r="E159" s="205"/>
      <c r="G159" s="126">
        <f>SUM(G160:G163)</f>
        <v>6968.43</v>
      </c>
      <c r="H159" s="69"/>
      <c r="I159" s="146">
        <f>G159/$K$157</f>
        <v>1.992019492686126E-2</v>
      </c>
      <c r="J159" s="69"/>
      <c r="K159" s="68"/>
      <c r="L159" s="194"/>
    </row>
    <row r="160" spans="1:12" x14ac:dyDescent="0.25">
      <c r="A160" s="33" t="s">
        <v>603</v>
      </c>
      <c r="B160" s="10" t="s">
        <v>19</v>
      </c>
      <c r="C160" s="9" t="s">
        <v>20</v>
      </c>
      <c r="D160" s="164">
        <v>254</v>
      </c>
      <c r="E160" s="205">
        <v>4.38</v>
      </c>
      <c r="G160" s="175">
        <v>1112.52</v>
      </c>
      <c r="H160" s="69"/>
      <c r="I160" s="146">
        <f t="shared" ref="I160:I163" si="19">G160/$K$157</f>
        <v>3.1802881366436468E-3</v>
      </c>
      <c r="J160" s="69"/>
      <c r="K160" s="68"/>
      <c r="L160" s="194"/>
    </row>
    <row r="161" spans="1:12" x14ac:dyDescent="0.25">
      <c r="A161" s="33" t="s">
        <v>604</v>
      </c>
      <c r="B161" s="10" t="s">
        <v>22</v>
      </c>
      <c r="C161" s="9" t="s">
        <v>23</v>
      </c>
      <c r="D161" s="164">
        <v>6.35</v>
      </c>
      <c r="E161" s="205">
        <v>217.25</v>
      </c>
      <c r="G161" s="175">
        <v>1379.54</v>
      </c>
      <c r="H161" s="69"/>
      <c r="I161" s="146">
        <f t="shared" si="19"/>
        <v>3.9436007406836518E-3</v>
      </c>
      <c r="J161" s="69"/>
      <c r="K161" s="68"/>
      <c r="L161" s="194"/>
    </row>
    <row r="162" spans="1:12" x14ac:dyDescent="0.25">
      <c r="A162" s="33" t="s">
        <v>605</v>
      </c>
      <c r="B162" s="10" t="s">
        <v>25</v>
      </c>
      <c r="C162" s="9" t="s">
        <v>26</v>
      </c>
      <c r="D162" s="164">
        <v>76.2</v>
      </c>
      <c r="E162" s="205">
        <v>17.54</v>
      </c>
      <c r="G162" s="175">
        <v>1336.55</v>
      </c>
      <c r="H162" s="69"/>
      <c r="I162" s="146">
        <f t="shared" si="19"/>
        <v>3.8207080403328177E-3</v>
      </c>
      <c r="J162" s="69"/>
      <c r="K162" s="68"/>
      <c r="L162" s="194"/>
    </row>
    <row r="163" spans="1:12" x14ac:dyDescent="0.25">
      <c r="A163" s="33" t="s">
        <v>606</v>
      </c>
      <c r="B163" s="10" t="s">
        <v>28</v>
      </c>
      <c r="C163" s="9" t="s">
        <v>29</v>
      </c>
      <c r="D163" s="164">
        <v>1531.62</v>
      </c>
      <c r="E163" s="205">
        <v>2.0499999999999998</v>
      </c>
      <c r="G163" s="175">
        <v>3139.82</v>
      </c>
      <c r="H163" s="69"/>
      <c r="I163" s="146">
        <f t="shared" si="19"/>
        <v>8.9755980092011429E-3</v>
      </c>
      <c r="J163" s="69"/>
      <c r="K163" s="68"/>
      <c r="L163" s="194"/>
    </row>
    <row r="164" spans="1:12" x14ac:dyDescent="0.25">
      <c r="A164" s="32" t="s">
        <v>607</v>
      </c>
      <c r="B164" s="8" t="s">
        <v>31</v>
      </c>
      <c r="C164" s="9"/>
      <c r="D164" s="164"/>
      <c r="E164" s="205"/>
      <c r="G164" s="126"/>
      <c r="H164" s="143">
        <f>G165+G167</f>
        <v>340649.33000000007</v>
      </c>
      <c r="I164" s="145">
        <f>H164/$K$157</f>
        <v>0.97379195246342276</v>
      </c>
      <c r="J164" s="69"/>
      <c r="K164" s="68"/>
      <c r="L164" s="194"/>
    </row>
    <row r="165" spans="1:12" x14ac:dyDescent="0.25">
      <c r="A165" s="32" t="s">
        <v>608</v>
      </c>
      <c r="B165" s="8" t="s">
        <v>33</v>
      </c>
      <c r="C165" s="9"/>
      <c r="D165" s="164"/>
      <c r="E165" s="205"/>
      <c r="G165" s="126">
        <v>114717.44</v>
      </c>
      <c r="H165" s="69"/>
      <c r="I165" s="146">
        <f>G165/$K$157</f>
        <v>0.32793524026366211</v>
      </c>
      <c r="J165" s="69"/>
      <c r="K165" s="68"/>
      <c r="L165" s="194"/>
    </row>
    <row r="166" spans="1:12" ht="25.5" x14ac:dyDescent="0.25">
      <c r="A166" s="33" t="s">
        <v>609</v>
      </c>
      <c r="B166" s="10" t="s">
        <v>35</v>
      </c>
      <c r="C166" s="9" t="s">
        <v>20</v>
      </c>
      <c r="D166" s="164">
        <v>152</v>
      </c>
      <c r="E166" s="205">
        <v>754.72</v>
      </c>
      <c r="G166" s="175">
        <v>114717.44</v>
      </c>
      <c r="H166" s="69"/>
      <c r="I166" s="146">
        <f t="shared" ref="I166:I181" si="20">G166/$K$157</f>
        <v>0.32793524026366211</v>
      </c>
      <c r="J166" s="69"/>
      <c r="K166" s="68"/>
      <c r="L166" s="194"/>
    </row>
    <row r="167" spans="1:12" x14ac:dyDescent="0.25">
      <c r="A167" s="32" t="s">
        <v>610</v>
      </c>
      <c r="B167" s="8" t="s">
        <v>37</v>
      </c>
      <c r="C167" s="9"/>
      <c r="D167" s="164"/>
      <c r="E167" s="205"/>
      <c r="G167" s="126">
        <f>SUM(G168:G181)</f>
        <v>225931.89000000004</v>
      </c>
      <c r="H167" s="69"/>
      <c r="I167" s="146">
        <f t="shared" si="20"/>
        <v>0.64585671219976049</v>
      </c>
      <c r="J167" s="69"/>
      <c r="K167" s="68"/>
      <c r="L167" s="194"/>
    </row>
    <row r="168" spans="1:12" x14ac:dyDescent="0.25">
      <c r="A168" s="33" t="s">
        <v>611</v>
      </c>
      <c r="B168" s="10" t="s">
        <v>39</v>
      </c>
      <c r="C168" s="9" t="s">
        <v>26</v>
      </c>
      <c r="D168" s="164">
        <v>40.799999999999997</v>
      </c>
      <c r="E168" s="205">
        <v>641.26</v>
      </c>
      <c r="G168" s="175">
        <v>26163.41</v>
      </c>
      <c r="H168" s="69"/>
      <c r="I168" s="146">
        <f t="shared" si="20"/>
        <v>7.4791628408607272E-2</v>
      </c>
      <c r="J168" s="69"/>
      <c r="K168" s="68"/>
      <c r="L168" s="194"/>
    </row>
    <row r="169" spans="1:12" x14ac:dyDescent="0.25">
      <c r="A169" s="33" t="s">
        <v>612</v>
      </c>
      <c r="B169" s="10" t="s">
        <v>41</v>
      </c>
      <c r="C169" s="9" t="s">
        <v>42</v>
      </c>
      <c r="D169" s="164">
        <v>1020</v>
      </c>
      <c r="E169" s="205">
        <v>8.64</v>
      </c>
      <c r="G169" s="175">
        <v>8812.7999999999993</v>
      </c>
      <c r="H169" s="69"/>
      <c r="I169" s="146">
        <f t="shared" si="20"/>
        <v>2.5192574776734918E-2</v>
      </c>
      <c r="J169" s="69"/>
      <c r="K169" s="68"/>
      <c r="L169" s="194"/>
    </row>
    <row r="170" spans="1:12" x14ac:dyDescent="0.25">
      <c r="A170" s="33" t="s">
        <v>613</v>
      </c>
      <c r="B170" s="10" t="s">
        <v>44</v>
      </c>
      <c r="C170" s="9" t="s">
        <v>42</v>
      </c>
      <c r="D170" s="164">
        <v>1836</v>
      </c>
      <c r="E170" s="205">
        <v>9.66</v>
      </c>
      <c r="G170" s="175">
        <v>17735.759999999998</v>
      </c>
      <c r="H170" s="69"/>
      <c r="I170" s="146">
        <f t="shared" si="20"/>
        <v>5.0700056738179018E-2</v>
      </c>
      <c r="J170" s="69"/>
      <c r="K170" s="68"/>
      <c r="L170" s="194"/>
    </row>
    <row r="171" spans="1:12" x14ac:dyDescent="0.25">
      <c r="A171" s="33" t="s">
        <v>614</v>
      </c>
      <c r="B171" s="10" t="s">
        <v>46</v>
      </c>
      <c r="C171" s="9" t="s">
        <v>42</v>
      </c>
      <c r="D171" s="164">
        <v>1836</v>
      </c>
      <c r="E171" s="205">
        <v>8.84</v>
      </c>
      <c r="G171" s="175">
        <v>16230.24</v>
      </c>
      <c r="H171" s="69"/>
      <c r="I171" s="146">
        <f t="shared" si="20"/>
        <v>4.6396325213820144E-2</v>
      </c>
      <c r="J171" s="69"/>
      <c r="K171" s="68"/>
      <c r="L171" s="194"/>
    </row>
    <row r="172" spans="1:12" x14ac:dyDescent="0.25">
      <c r="A172" s="33" t="s">
        <v>615</v>
      </c>
      <c r="B172" s="10" t="s">
        <v>48</v>
      </c>
      <c r="C172" s="9" t="s">
        <v>26</v>
      </c>
      <c r="D172" s="164">
        <v>81.599999999999994</v>
      </c>
      <c r="E172" s="205">
        <v>25.13</v>
      </c>
      <c r="G172" s="175">
        <v>2050.61</v>
      </c>
      <c r="H172" s="69"/>
      <c r="I172" s="146">
        <f t="shared" si="20"/>
        <v>5.8619446444853392E-3</v>
      </c>
      <c r="J172" s="69"/>
      <c r="K172" s="68"/>
      <c r="L172" s="194"/>
    </row>
    <row r="173" spans="1:12" x14ac:dyDescent="0.25">
      <c r="A173" s="33" t="s">
        <v>616</v>
      </c>
      <c r="B173" s="10" t="s">
        <v>50</v>
      </c>
      <c r="C173" s="9" t="s">
        <v>26</v>
      </c>
      <c r="D173" s="164">
        <v>2.04</v>
      </c>
      <c r="E173" s="205">
        <v>900.01</v>
      </c>
      <c r="G173" s="175">
        <v>1836.02</v>
      </c>
      <c r="H173" s="69"/>
      <c r="I173" s="146">
        <f t="shared" si="20"/>
        <v>5.2485102511779279E-3</v>
      </c>
      <c r="J173" s="69"/>
      <c r="K173" s="68"/>
      <c r="L173" s="194"/>
    </row>
    <row r="174" spans="1:12" x14ac:dyDescent="0.25">
      <c r="A174" s="33" t="s">
        <v>617</v>
      </c>
      <c r="B174" s="10" t="s">
        <v>52</v>
      </c>
      <c r="C174" s="9" t="s">
        <v>26</v>
      </c>
      <c r="D174" s="164">
        <v>2.04</v>
      </c>
      <c r="E174" s="205">
        <v>1002.12</v>
      </c>
      <c r="G174" s="175">
        <v>2044.32</v>
      </c>
      <c r="H174" s="69"/>
      <c r="I174" s="146">
        <f t="shared" si="20"/>
        <v>5.8439638330127462E-3</v>
      </c>
      <c r="J174" s="69"/>
      <c r="K174" s="68"/>
      <c r="L174" s="194"/>
    </row>
    <row r="175" spans="1:12" x14ac:dyDescent="0.25">
      <c r="A175" s="33" t="s">
        <v>618</v>
      </c>
      <c r="B175" s="10" t="s">
        <v>54</v>
      </c>
      <c r="C175" s="9" t="s">
        <v>26</v>
      </c>
      <c r="D175" s="164">
        <v>51</v>
      </c>
      <c r="E175" s="205">
        <v>1037.21</v>
      </c>
      <c r="G175" s="175">
        <v>52897.71</v>
      </c>
      <c r="H175" s="69"/>
      <c r="I175" s="146">
        <f t="shared" si="20"/>
        <v>0.15121522270935894</v>
      </c>
      <c r="J175" s="69"/>
      <c r="K175" s="68"/>
      <c r="L175" s="194"/>
    </row>
    <row r="176" spans="1:12" x14ac:dyDescent="0.25">
      <c r="A176" s="33" t="s">
        <v>619</v>
      </c>
      <c r="B176" s="10" t="s">
        <v>56</v>
      </c>
      <c r="C176" s="9" t="s">
        <v>57</v>
      </c>
      <c r="D176" s="164">
        <v>51</v>
      </c>
      <c r="E176" s="205">
        <v>45.3</v>
      </c>
      <c r="G176" s="175">
        <v>2310.3000000000002</v>
      </c>
      <c r="H176" s="69"/>
      <c r="I176" s="146">
        <f t="shared" si="20"/>
        <v>6.6043034570954394E-3</v>
      </c>
      <c r="J176" s="69"/>
      <c r="K176" s="68"/>
      <c r="L176" s="194"/>
    </row>
    <row r="177" spans="1:12" x14ac:dyDescent="0.25">
      <c r="A177" s="33" t="s">
        <v>620</v>
      </c>
      <c r="B177" s="10" t="s">
        <v>59</v>
      </c>
      <c r="C177" s="9" t="s">
        <v>20</v>
      </c>
      <c r="D177" s="164">
        <v>102</v>
      </c>
      <c r="E177" s="205">
        <v>106.17</v>
      </c>
      <c r="G177" s="175">
        <v>10829.34</v>
      </c>
      <c r="H177" s="69"/>
      <c r="I177" s="146">
        <f t="shared" si="20"/>
        <v>3.0957125741272528E-2</v>
      </c>
      <c r="J177" s="69"/>
      <c r="K177" s="68"/>
      <c r="L177" s="194"/>
    </row>
    <row r="178" spans="1:12" x14ac:dyDescent="0.25">
      <c r="A178" s="33" t="s">
        <v>621</v>
      </c>
      <c r="B178" s="10" t="s">
        <v>61</v>
      </c>
      <c r="C178" s="9" t="s">
        <v>26</v>
      </c>
      <c r="D178" s="164">
        <v>81.599999999999994</v>
      </c>
      <c r="E178" s="205">
        <v>56.85</v>
      </c>
      <c r="G178" s="175">
        <v>4638.96</v>
      </c>
      <c r="H178" s="69"/>
      <c r="I178" s="146">
        <f t="shared" si="20"/>
        <v>1.3261091444975743E-2</v>
      </c>
      <c r="J178" s="69"/>
      <c r="K178" s="68"/>
      <c r="L178" s="194"/>
    </row>
    <row r="179" spans="1:12" x14ac:dyDescent="0.25">
      <c r="A179" s="33" t="s">
        <v>622</v>
      </c>
      <c r="B179" s="10" t="s">
        <v>63</v>
      </c>
      <c r="C179" s="9" t="s">
        <v>20</v>
      </c>
      <c r="D179" s="164">
        <v>81.599999999999994</v>
      </c>
      <c r="E179" s="205">
        <v>76.84</v>
      </c>
      <c r="G179" s="175">
        <v>6270.14</v>
      </c>
      <c r="H179" s="69"/>
      <c r="I179" s="146">
        <f t="shared" si="20"/>
        <v>1.7924038989946066E-2</v>
      </c>
      <c r="J179" s="69"/>
      <c r="K179" s="68"/>
      <c r="L179" s="194"/>
    </row>
    <row r="180" spans="1:12" x14ac:dyDescent="0.25">
      <c r="A180" s="33" t="s">
        <v>623</v>
      </c>
      <c r="B180" s="10" t="s">
        <v>65</v>
      </c>
      <c r="C180" s="9" t="s">
        <v>42</v>
      </c>
      <c r="D180" s="164">
        <v>1275</v>
      </c>
      <c r="E180" s="205">
        <v>11.15</v>
      </c>
      <c r="G180" s="175">
        <v>14216.25</v>
      </c>
      <c r="H180" s="69"/>
      <c r="I180" s="146">
        <f t="shared" si="20"/>
        <v>4.0639063767447102E-2</v>
      </c>
      <c r="J180" s="69"/>
      <c r="K180" s="68"/>
      <c r="L180" s="194"/>
    </row>
    <row r="181" spans="1:12" x14ac:dyDescent="0.25">
      <c r="A181" s="33" t="s">
        <v>624</v>
      </c>
      <c r="B181" s="10" t="s">
        <v>67</v>
      </c>
      <c r="C181" s="9" t="s">
        <v>26</v>
      </c>
      <c r="D181" s="164">
        <v>81.599999999999994</v>
      </c>
      <c r="E181" s="205">
        <v>734.02</v>
      </c>
      <c r="G181" s="175">
        <v>59896.03</v>
      </c>
      <c r="H181" s="69"/>
      <c r="I181" s="146">
        <f t="shared" si="20"/>
        <v>0.17122086222364719</v>
      </c>
      <c r="J181" s="69"/>
      <c r="K181" s="68"/>
      <c r="L181" s="194"/>
    </row>
    <row r="182" spans="1:12" x14ac:dyDescent="0.25">
      <c r="A182" s="32" t="s">
        <v>625</v>
      </c>
      <c r="B182" s="8" t="s">
        <v>69</v>
      </c>
      <c r="C182" s="9"/>
      <c r="D182" s="164"/>
      <c r="E182" s="205"/>
      <c r="G182" s="126"/>
      <c r="H182" s="143">
        <f>G183</f>
        <v>2199.6</v>
      </c>
      <c r="I182" s="145">
        <f>H182/$K$157</f>
        <v>6.2878526097161092E-3</v>
      </c>
      <c r="J182" s="69"/>
      <c r="K182" s="68"/>
      <c r="L182" s="194"/>
    </row>
    <row r="183" spans="1:12" x14ac:dyDescent="0.25">
      <c r="A183" s="32" t="s">
        <v>626</v>
      </c>
      <c r="B183" s="8" t="s">
        <v>71</v>
      </c>
      <c r="C183" s="9"/>
      <c r="D183" s="164"/>
      <c r="E183" s="205"/>
      <c r="G183" s="126">
        <v>2199.6</v>
      </c>
      <c r="H183" s="69"/>
      <c r="I183" s="146">
        <f>G183/$K$157</f>
        <v>6.2878526097161092E-3</v>
      </c>
      <c r="J183" s="69"/>
      <c r="K183" s="68"/>
      <c r="L183" s="194"/>
    </row>
    <row r="184" spans="1:12" x14ac:dyDescent="0.25">
      <c r="A184" s="33" t="s">
        <v>627</v>
      </c>
      <c r="B184" s="10" t="s">
        <v>73</v>
      </c>
      <c r="C184" s="9" t="s">
        <v>57</v>
      </c>
      <c r="D184" s="164">
        <v>72</v>
      </c>
      <c r="E184" s="205">
        <v>30.55</v>
      </c>
      <c r="G184" s="175">
        <v>2199.6</v>
      </c>
      <c r="H184" s="69"/>
      <c r="I184" s="146">
        <f>G184/$K$157</f>
        <v>6.2878526097161092E-3</v>
      </c>
      <c r="J184" s="69"/>
      <c r="K184" s="68"/>
      <c r="L184" s="194"/>
    </row>
    <row r="185" spans="1:12" x14ac:dyDescent="0.25">
      <c r="A185" s="33"/>
      <c r="B185" s="10"/>
      <c r="C185" s="9"/>
      <c r="D185" s="164"/>
      <c r="E185" s="205"/>
      <c r="G185" s="175"/>
      <c r="H185" s="69"/>
      <c r="I185" s="152"/>
      <c r="J185" s="69"/>
      <c r="K185" s="68"/>
      <c r="L185" s="194"/>
    </row>
    <row r="186" spans="1:12" x14ac:dyDescent="0.25">
      <c r="A186" s="32">
        <v>8</v>
      </c>
      <c r="B186" s="8" t="s">
        <v>628</v>
      </c>
      <c r="C186" s="9"/>
      <c r="D186" s="164"/>
      <c r="E186" s="205"/>
      <c r="G186" s="126"/>
      <c r="H186" s="69"/>
      <c r="I186" s="152"/>
      <c r="J186" s="69"/>
      <c r="K186" s="68">
        <f>SUM(H186:H200)</f>
        <v>984713.27999999991</v>
      </c>
      <c r="L186" s="169">
        <f>K186/$G$253</f>
        <v>0.18311762744613219</v>
      </c>
    </row>
    <row r="187" spans="1:12" x14ac:dyDescent="0.25">
      <c r="A187" s="32" t="s">
        <v>629</v>
      </c>
      <c r="B187" s="8" t="s">
        <v>15</v>
      </c>
      <c r="C187" s="9"/>
      <c r="D187" s="164"/>
      <c r="E187" s="205"/>
      <c r="G187" s="126"/>
      <c r="H187" s="143">
        <f>G188</f>
        <v>34293.440000000002</v>
      </c>
      <c r="I187" s="145">
        <f>H187/$K$186</f>
        <v>3.4825812443597802E-2</v>
      </c>
      <c r="J187" s="69"/>
      <c r="K187" s="68"/>
      <c r="L187" s="194"/>
    </row>
    <row r="188" spans="1:12" x14ac:dyDescent="0.25">
      <c r="A188" s="32" t="s">
        <v>630</v>
      </c>
      <c r="B188" s="8" t="s">
        <v>17</v>
      </c>
      <c r="C188" s="9"/>
      <c r="D188" s="164"/>
      <c r="E188" s="205"/>
      <c r="G188" s="126">
        <f>SUM(G189:G192)</f>
        <v>34293.440000000002</v>
      </c>
      <c r="H188" s="69"/>
      <c r="I188" s="146">
        <f>G188/$K$186</f>
        <v>3.4825812443597802E-2</v>
      </c>
      <c r="J188" s="69"/>
      <c r="K188" s="68"/>
      <c r="L188" s="194"/>
    </row>
    <row r="189" spans="1:12" x14ac:dyDescent="0.25">
      <c r="A189" s="33" t="s">
        <v>631</v>
      </c>
      <c r="B189" s="10" t="s">
        <v>19</v>
      </c>
      <c r="C189" s="9" t="s">
        <v>20</v>
      </c>
      <c r="D189" s="164">
        <v>1250</v>
      </c>
      <c r="E189" s="205">
        <v>4.38</v>
      </c>
      <c r="G189" s="175">
        <v>5475</v>
      </c>
      <c r="H189" s="69"/>
      <c r="I189" s="146">
        <f t="shared" ref="I189:I192" si="21">G189/$K$186</f>
        <v>5.5599940725893334E-3</v>
      </c>
      <c r="J189" s="69"/>
      <c r="K189" s="68"/>
      <c r="L189" s="194"/>
    </row>
    <row r="190" spans="1:12" x14ac:dyDescent="0.25">
      <c r="A190" s="33" t="s">
        <v>632</v>
      </c>
      <c r="B190" s="10" t="s">
        <v>22</v>
      </c>
      <c r="C190" s="9" t="s">
        <v>23</v>
      </c>
      <c r="D190" s="164">
        <v>31.25</v>
      </c>
      <c r="E190" s="205">
        <v>217.25</v>
      </c>
      <c r="G190" s="175">
        <v>6789.06</v>
      </c>
      <c r="H190" s="69"/>
      <c r="I190" s="146">
        <f t="shared" si="21"/>
        <v>6.8944535814526647E-3</v>
      </c>
      <c r="J190" s="69"/>
      <c r="K190" s="68"/>
      <c r="L190" s="194"/>
    </row>
    <row r="191" spans="1:12" x14ac:dyDescent="0.25">
      <c r="A191" s="33" t="s">
        <v>633</v>
      </c>
      <c r="B191" s="10" t="s">
        <v>25</v>
      </c>
      <c r="C191" s="9" t="s">
        <v>26</v>
      </c>
      <c r="D191" s="164">
        <v>375</v>
      </c>
      <c r="E191" s="205">
        <v>17.54</v>
      </c>
      <c r="G191" s="175">
        <v>6577.5</v>
      </c>
      <c r="H191" s="69"/>
      <c r="I191" s="146">
        <f t="shared" si="21"/>
        <v>6.679609317343624E-3</v>
      </c>
      <c r="J191" s="69"/>
      <c r="K191" s="68"/>
      <c r="L191" s="194"/>
    </row>
    <row r="192" spans="1:12" x14ac:dyDescent="0.25">
      <c r="A192" s="33" t="s">
        <v>634</v>
      </c>
      <c r="B192" s="10" t="s">
        <v>28</v>
      </c>
      <c r="C192" s="9" t="s">
        <v>29</v>
      </c>
      <c r="D192" s="164">
        <v>7537.5</v>
      </c>
      <c r="E192" s="205">
        <v>2.0499999999999998</v>
      </c>
      <c r="G192" s="175">
        <v>15451.88</v>
      </c>
      <c r="H192" s="69"/>
      <c r="I192" s="146">
        <f t="shared" si="21"/>
        <v>1.5691755472212177E-2</v>
      </c>
      <c r="J192" s="69"/>
      <c r="K192" s="68"/>
      <c r="L192" s="194"/>
    </row>
    <row r="193" spans="1:12" x14ac:dyDescent="0.25">
      <c r="A193" s="32" t="s">
        <v>635</v>
      </c>
      <c r="B193" s="8" t="s">
        <v>31</v>
      </c>
      <c r="C193" s="9"/>
      <c r="D193" s="164"/>
      <c r="E193" s="205"/>
      <c r="G193" s="126"/>
      <c r="H193" s="143">
        <f>G194</f>
        <v>943400</v>
      </c>
      <c r="I193" s="145">
        <f>H193/$K$186</f>
        <v>0.95804537133895473</v>
      </c>
      <c r="J193" s="69"/>
      <c r="K193" s="68"/>
      <c r="L193" s="194"/>
    </row>
    <row r="194" spans="1:12" x14ac:dyDescent="0.25">
      <c r="A194" s="32" t="s">
        <v>636</v>
      </c>
      <c r="B194" s="8" t="s">
        <v>33</v>
      </c>
      <c r="C194" s="9"/>
      <c r="D194" s="164"/>
      <c r="E194" s="205"/>
      <c r="G194" s="126">
        <v>943400</v>
      </c>
      <c r="H194" s="69"/>
      <c r="I194" s="146">
        <f>G194/$K$186</f>
        <v>0.95804537133895473</v>
      </c>
      <c r="J194" s="69"/>
      <c r="K194" s="68"/>
      <c r="L194" s="194"/>
    </row>
    <row r="195" spans="1:12" ht="25.5" x14ac:dyDescent="0.25">
      <c r="A195" s="33" t="s">
        <v>637</v>
      </c>
      <c r="B195" s="10" t="s">
        <v>35</v>
      </c>
      <c r="C195" s="9" t="s">
        <v>20</v>
      </c>
      <c r="D195" s="164">
        <v>1250</v>
      </c>
      <c r="E195" s="205">
        <v>754.72</v>
      </c>
      <c r="G195" s="175">
        <v>943400</v>
      </c>
      <c r="H195" s="69"/>
      <c r="I195" s="146">
        <f>G195/$K$186</f>
        <v>0.95804537133895473</v>
      </c>
      <c r="J195" s="69"/>
      <c r="K195" s="68"/>
      <c r="L195" s="194"/>
    </row>
    <row r="196" spans="1:12" x14ac:dyDescent="0.25">
      <c r="A196" s="32" t="s">
        <v>638</v>
      </c>
      <c r="B196" s="8" t="s">
        <v>69</v>
      </c>
      <c r="C196" s="9"/>
      <c r="D196" s="164"/>
      <c r="E196" s="205"/>
      <c r="G196" s="126"/>
      <c r="H196" s="143">
        <f>G197+G199</f>
        <v>7019.84</v>
      </c>
      <c r="I196" s="145">
        <f>H196/$K$186</f>
        <v>7.1288162174475813E-3</v>
      </c>
      <c r="J196" s="69"/>
      <c r="K196" s="68"/>
      <c r="L196" s="194"/>
    </row>
    <row r="197" spans="1:12" x14ac:dyDescent="0.25">
      <c r="A197" s="32" t="s">
        <v>639</v>
      </c>
      <c r="B197" s="8" t="s">
        <v>71</v>
      </c>
      <c r="C197" s="9"/>
      <c r="D197" s="164"/>
      <c r="E197" s="205"/>
      <c r="G197" s="126">
        <v>4796.3500000000004</v>
      </c>
      <c r="H197" s="69"/>
      <c r="I197" s="146">
        <f>G198/$K$186</f>
        <v>4.8708086885961375E-3</v>
      </c>
      <c r="J197" s="69"/>
      <c r="K197" s="68"/>
      <c r="L197" s="194"/>
    </row>
    <row r="198" spans="1:12" x14ac:dyDescent="0.25">
      <c r="A198" s="33" t="s">
        <v>640</v>
      </c>
      <c r="B198" s="10" t="s">
        <v>73</v>
      </c>
      <c r="C198" s="9" t="s">
        <v>57</v>
      </c>
      <c r="D198" s="164">
        <v>157</v>
      </c>
      <c r="E198" s="205">
        <v>30.55</v>
      </c>
      <c r="G198" s="175">
        <v>4796.3500000000004</v>
      </c>
      <c r="H198" s="69"/>
      <c r="I198" s="146">
        <f t="shared" ref="I198:I200" si="22">G199/$K$186</f>
        <v>2.2580075288514438E-3</v>
      </c>
      <c r="J198" s="69"/>
      <c r="K198" s="68"/>
      <c r="L198" s="194"/>
    </row>
    <row r="199" spans="1:12" x14ac:dyDescent="0.25">
      <c r="A199" s="32" t="s">
        <v>641</v>
      </c>
      <c r="B199" s="8" t="s">
        <v>75</v>
      </c>
      <c r="C199" s="9"/>
      <c r="D199" s="164"/>
      <c r="E199" s="205"/>
      <c r="G199" s="126">
        <v>2223.4899999999998</v>
      </c>
      <c r="H199" s="69"/>
      <c r="I199" s="146">
        <f t="shared" si="22"/>
        <v>2.2580075288514438E-3</v>
      </c>
      <c r="J199" s="69"/>
      <c r="K199" s="68"/>
      <c r="L199" s="194"/>
    </row>
    <row r="200" spans="1:12" ht="26.25" thickBot="1" x14ac:dyDescent="0.3">
      <c r="A200" s="34" t="s">
        <v>642</v>
      </c>
      <c r="B200" s="35" t="s">
        <v>77</v>
      </c>
      <c r="C200" s="36" t="s">
        <v>26</v>
      </c>
      <c r="D200" s="168">
        <v>1.3</v>
      </c>
      <c r="E200" s="208">
        <v>1710.38</v>
      </c>
      <c r="F200" s="157"/>
      <c r="G200" s="181">
        <v>2223.4899999999998</v>
      </c>
      <c r="H200" s="203"/>
      <c r="I200" s="151">
        <f t="shared" si="22"/>
        <v>0</v>
      </c>
      <c r="J200" s="203"/>
      <c r="K200" s="78"/>
      <c r="L200" s="198"/>
    </row>
    <row r="201" spans="1:12" ht="13.5" thickBot="1" x14ac:dyDescent="0.3">
      <c r="A201" s="41"/>
      <c r="D201" s="166"/>
      <c r="E201" s="206"/>
      <c r="G201" s="176"/>
      <c r="H201" s="190"/>
      <c r="I201" s="191"/>
      <c r="J201" s="190"/>
      <c r="K201" s="192"/>
      <c r="L201" s="191"/>
    </row>
    <row r="202" spans="1:12" x14ac:dyDescent="0.25">
      <c r="A202" s="25">
        <v>9</v>
      </c>
      <c r="B202" s="26" t="s">
        <v>206</v>
      </c>
      <c r="C202" s="27"/>
      <c r="D202" s="172"/>
      <c r="E202" s="207"/>
      <c r="F202" s="156"/>
      <c r="G202" s="120"/>
      <c r="H202" s="204"/>
      <c r="I202" s="193"/>
      <c r="J202" s="204"/>
      <c r="K202" s="73">
        <f>SUM(H203:H251)</f>
        <v>3650189.9199999995</v>
      </c>
      <c r="L202" s="179">
        <v>1</v>
      </c>
    </row>
    <row r="203" spans="1:12" x14ac:dyDescent="0.25">
      <c r="A203" s="32" t="s">
        <v>643</v>
      </c>
      <c r="B203" s="8" t="s">
        <v>15</v>
      </c>
      <c r="C203" s="9"/>
      <c r="D203" s="164"/>
      <c r="E203" s="205"/>
      <c r="G203" s="126"/>
      <c r="H203" s="143">
        <f>G204+G209</f>
        <v>79985.100000000006</v>
      </c>
      <c r="I203" s="145">
        <f>H203/$K$202</f>
        <v>2.1912585852519154E-2</v>
      </c>
      <c r="J203" s="69"/>
      <c r="K203" s="68"/>
      <c r="L203" s="194"/>
    </row>
    <row r="204" spans="1:12" x14ac:dyDescent="0.25">
      <c r="A204" s="32" t="s">
        <v>644</v>
      </c>
      <c r="B204" s="8" t="s">
        <v>17</v>
      </c>
      <c r="C204" s="9"/>
      <c r="D204" s="164"/>
      <c r="E204" s="205"/>
      <c r="G204" s="126">
        <f>SUM(G205:G208)</f>
        <v>34924.44</v>
      </c>
      <c r="H204" s="69"/>
      <c r="I204" s="146">
        <f>G204/$K$202</f>
        <v>9.5678418836902621E-3</v>
      </c>
      <c r="J204" s="69"/>
      <c r="K204" s="68"/>
      <c r="L204" s="194"/>
    </row>
    <row r="205" spans="1:12" x14ac:dyDescent="0.25">
      <c r="A205" s="33" t="s">
        <v>645</v>
      </c>
      <c r="B205" s="10" t="s">
        <v>19</v>
      </c>
      <c r="C205" s="9" t="s">
        <v>20</v>
      </c>
      <c r="D205" s="164">
        <v>1273</v>
      </c>
      <c r="E205" s="205">
        <v>4.38</v>
      </c>
      <c r="G205" s="175">
        <v>5575.74</v>
      </c>
      <c r="H205" s="69"/>
      <c r="I205" s="146">
        <f t="shared" ref="I205:I215" si="23">G205/$K$202</f>
        <v>1.5275205187131745E-3</v>
      </c>
      <c r="J205" s="69"/>
      <c r="K205" s="68"/>
      <c r="L205" s="194"/>
    </row>
    <row r="206" spans="1:12" x14ac:dyDescent="0.25">
      <c r="A206" s="33" t="s">
        <v>646</v>
      </c>
      <c r="B206" s="10" t="s">
        <v>22</v>
      </c>
      <c r="C206" s="9" t="s">
        <v>23</v>
      </c>
      <c r="D206" s="164">
        <v>31.83</v>
      </c>
      <c r="E206" s="205">
        <v>217.25</v>
      </c>
      <c r="G206" s="175">
        <v>6913.98</v>
      </c>
      <c r="H206" s="69"/>
      <c r="I206" s="146">
        <f t="shared" si="23"/>
        <v>1.894142538205245E-3</v>
      </c>
      <c r="J206" s="69"/>
      <c r="K206" s="68"/>
      <c r="L206" s="194"/>
    </row>
    <row r="207" spans="1:12" x14ac:dyDescent="0.25">
      <c r="A207" s="33" t="s">
        <v>647</v>
      </c>
      <c r="B207" s="10" t="s">
        <v>25</v>
      </c>
      <c r="C207" s="9" t="s">
        <v>26</v>
      </c>
      <c r="D207" s="164">
        <v>381.9</v>
      </c>
      <c r="E207" s="205">
        <v>17.54</v>
      </c>
      <c r="G207" s="175">
        <v>6698.53</v>
      </c>
      <c r="H207" s="69"/>
      <c r="I207" s="146">
        <f t="shared" si="23"/>
        <v>1.8351182121504519E-3</v>
      </c>
      <c r="J207" s="69"/>
      <c r="K207" s="68"/>
      <c r="L207" s="194"/>
    </row>
    <row r="208" spans="1:12" x14ac:dyDescent="0.25">
      <c r="A208" s="33" t="s">
        <v>648</v>
      </c>
      <c r="B208" s="10" t="s">
        <v>28</v>
      </c>
      <c r="C208" s="9" t="s">
        <v>29</v>
      </c>
      <c r="D208" s="164">
        <v>7676.19</v>
      </c>
      <c r="E208" s="205">
        <v>2.0499999999999998</v>
      </c>
      <c r="G208" s="175">
        <v>15736.19</v>
      </c>
      <c r="H208" s="69"/>
      <c r="I208" s="146">
        <f t="shared" si="23"/>
        <v>4.3110606146213905E-3</v>
      </c>
      <c r="J208" s="69"/>
      <c r="K208" s="68"/>
      <c r="L208" s="194"/>
    </row>
    <row r="209" spans="1:12" x14ac:dyDescent="0.25">
      <c r="A209" s="32" t="s">
        <v>649</v>
      </c>
      <c r="B209" s="8" t="s">
        <v>279</v>
      </c>
      <c r="C209" s="9"/>
      <c r="D209" s="164"/>
      <c r="E209" s="205"/>
      <c r="G209" s="126">
        <f>SUM(G210:G215)</f>
        <v>45060.66</v>
      </c>
      <c r="H209" s="69"/>
      <c r="I209" s="146">
        <f t="shared" si="23"/>
        <v>1.234474396882889E-2</v>
      </c>
      <c r="J209" s="69"/>
      <c r="K209" s="68"/>
      <c r="L209" s="194"/>
    </row>
    <row r="210" spans="1:12" x14ac:dyDescent="0.25">
      <c r="A210" s="33" t="s">
        <v>650</v>
      </c>
      <c r="B210" s="10" t="s">
        <v>281</v>
      </c>
      <c r="C210" s="9" t="s">
        <v>26</v>
      </c>
      <c r="D210" s="164">
        <v>279.60000000000002</v>
      </c>
      <c r="E210" s="205">
        <v>54.08</v>
      </c>
      <c r="G210" s="175">
        <v>15120.77</v>
      </c>
      <c r="H210" s="69"/>
      <c r="I210" s="146">
        <f t="shared" si="23"/>
        <v>4.1424611681575192E-3</v>
      </c>
      <c r="J210" s="69"/>
      <c r="K210" s="68"/>
      <c r="L210" s="194"/>
    </row>
    <row r="211" spans="1:12" x14ac:dyDescent="0.25">
      <c r="A211" s="33" t="s">
        <v>651</v>
      </c>
      <c r="B211" s="10" t="s">
        <v>283</v>
      </c>
      <c r="C211" s="9" t="s">
        <v>26</v>
      </c>
      <c r="D211" s="164">
        <v>69.900000000000006</v>
      </c>
      <c r="E211" s="205">
        <v>78.37</v>
      </c>
      <c r="G211" s="175">
        <v>5478.06</v>
      </c>
      <c r="H211" s="69"/>
      <c r="I211" s="146">
        <f t="shared" si="23"/>
        <v>1.5007602672904212E-3</v>
      </c>
      <c r="J211" s="69"/>
      <c r="K211" s="68"/>
      <c r="L211" s="194"/>
    </row>
    <row r="212" spans="1:12" x14ac:dyDescent="0.25">
      <c r="A212" s="33" t="s">
        <v>652</v>
      </c>
      <c r="B212" s="10" t="s">
        <v>285</v>
      </c>
      <c r="C212" s="9" t="s">
        <v>26</v>
      </c>
      <c r="D212" s="164">
        <v>24.47</v>
      </c>
      <c r="E212" s="205">
        <v>168.28</v>
      </c>
      <c r="G212" s="175">
        <v>4116.97</v>
      </c>
      <c r="H212" s="69"/>
      <c r="I212" s="146">
        <f t="shared" si="23"/>
        <v>1.1278782995488631E-3</v>
      </c>
      <c r="J212" s="69"/>
      <c r="K212" s="68"/>
      <c r="L212" s="194"/>
    </row>
    <row r="213" spans="1:12" x14ac:dyDescent="0.25">
      <c r="A213" s="33" t="s">
        <v>653</v>
      </c>
      <c r="B213" s="10" t="s">
        <v>287</v>
      </c>
      <c r="C213" s="9" t="s">
        <v>20</v>
      </c>
      <c r="D213" s="164">
        <v>372.8</v>
      </c>
      <c r="E213" s="205">
        <v>6.36</v>
      </c>
      <c r="G213" s="175">
        <v>2371.0100000000002</v>
      </c>
      <c r="H213" s="69"/>
      <c r="I213" s="146">
        <f t="shared" si="23"/>
        <v>6.4955798245149954E-4</v>
      </c>
      <c r="J213" s="69"/>
      <c r="K213" s="68"/>
      <c r="L213" s="194"/>
    </row>
    <row r="214" spans="1:12" x14ac:dyDescent="0.25">
      <c r="A214" s="33" t="s">
        <v>654</v>
      </c>
      <c r="B214" s="10" t="s">
        <v>25</v>
      </c>
      <c r="C214" s="9" t="s">
        <v>26</v>
      </c>
      <c r="D214" s="164">
        <v>372.8</v>
      </c>
      <c r="E214" s="205">
        <v>17.54</v>
      </c>
      <c r="G214" s="175">
        <v>6538.91</v>
      </c>
      <c r="H214" s="69"/>
      <c r="I214" s="146">
        <f t="shared" si="23"/>
        <v>1.7913889806588476E-3</v>
      </c>
      <c r="J214" s="69"/>
      <c r="K214" s="68"/>
      <c r="L214" s="194"/>
    </row>
    <row r="215" spans="1:12" x14ac:dyDescent="0.25">
      <c r="A215" s="33" t="s">
        <v>655</v>
      </c>
      <c r="B215" s="10" t="s">
        <v>28</v>
      </c>
      <c r="C215" s="9" t="s">
        <v>29</v>
      </c>
      <c r="D215" s="164">
        <v>5578.02</v>
      </c>
      <c r="E215" s="205">
        <v>2.0499999999999998</v>
      </c>
      <c r="G215" s="175">
        <v>11434.94</v>
      </c>
      <c r="H215" s="69"/>
      <c r="I215" s="146">
        <f t="shared" si="23"/>
        <v>3.1326972707217387E-3</v>
      </c>
      <c r="J215" s="69"/>
      <c r="K215" s="68"/>
      <c r="L215" s="194"/>
    </row>
    <row r="216" spans="1:12" x14ac:dyDescent="0.25">
      <c r="A216" s="32" t="s">
        <v>656</v>
      </c>
      <c r="B216" s="8" t="s">
        <v>208</v>
      </c>
      <c r="C216" s="9"/>
      <c r="D216" s="164"/>
      <c r="E216" s="205"/>
      <c r="G216" s="126"/>
      <c r="H216" s="143">
        <f>G217+G219</f>
        <v>109222.28</v>
      </c>
      <c r="I216" s="145">
        <f>H216/$K$202</f>
        <v>2.9922355382538564E-2</v>
      </c>
      <c r="J216" s="69"/>
      <c r="K216" s="68"/>
      <c r="L216" s="194"/>
    </row>
    <row r="217" spans="1:12" x14ac:dyDescent="0.25">
      <c r="A217" s="32" t="s">
        <v>657</v>
      </c>
      <c r="B217" s="8" t="s">
        <v>71</v>
      </c>
      <c r="C217" s="9"/>
      <c r="D217" s="164"/>
      <c r="E217" s="205"/>
      <c r="G217" s="126">
        <v>108880.2</v>
      </c>
      <c r="H217" s="69"/>
      <c r="I217" s="146">
        <f>G217/$K$202</f>
        <v>2.9828639710889348E-2</v>
      </c>
      <c r="J217" s="69"/>
      <c r="K217" s="68"/>
      <c r="L217" s="194"/>
    </row>
    <row r="218" spans="1:12" x14ac:dyDescent="0.25">
      <c r="A218" s="33" t="s">
        <v>658</v>
      </c>
      <c r="B218" s="10" t="s">
        <v>73</v>
      </c>
      <c r="C218" s="9" t="s">
        <v>57</v>
      </c>
      <c r="D218" s="164">
        <v>3564</v>
      </c>
      <c r="E218" s="205">
        <v>30.55</v>
      </c>
      <c r="G218" s="175">
        <v>108880.2</v>
      </c>
      <c r="H218" s="69"/>
      <c r="I218" s="146">
        <f t="shared" ref="I218:I220" si="24">G218/$K$202</f>
        <v>2.9828639710889348E-2</v>
      </c>
      <c r="J218" s="69"/>
      <c r="K218" s="68"/>
      <c r="L218" s="194"/>
    </row>
    <row r="219" spans="1:12" x14ac:dyDescent="0.25">
      <c r="A219" s="32" t="s">
        <v>659</v>
      </c>
      <c r="B219" s="8" t="s">
        <v>75</v>
      </c>
      <c r="C219" s="9"/>
      <c r="D219" s="164"/>
      <c r="E219" s="205"/>
      <c r="G219" s="126">
        <v>342.08</v>
      </c>
      <c r="H219" s="69"/>
      <c r="I219" s="146">
        <f t="shared" si="24"/>
        <v>9.3715671649216556E-5</v>
      </c>
      <c r="J219" s="69"/>
      <c r="K219" s="68"/>
      <c r="L219" s="194"/>
    </row>
    <row r="220" spans="1:12" ht="25.5" x14ac:dyDescent="0.25">
      <c r="A220" s="33" t="s">
        <v>660</v>
      </c>
      <c r="B220" s="10" t="s">
        <v>77</v>
      </c>
      <c r="C220" s="9" t="s">
        <v>26</v>
      </c>
      <c r="D220" s="164">
        <v>0.2</v>
      </c>
      <c r="E220" s="205">
        <v>1710.38</v>
      </c>
      <c r="G220" s="175">
        <v>342.08</v>
      </c>
      <c r="H220" s="69"/>
      <c r="I220" s="146">
        <f t="shared" si="24"/>
        <v>9.3715671649216556E-5</v>
      </c>
      <c r="J220" s="69"/>
      <c r="K220" s="68"/>
      <c r="L220" s="194"/>
    </row>
    <row r="221" spans="1:12" x14ac:dyDescent="0.25">
      <c r="A221" s="32" t="s">
        <v>661</v>
      </c>
      <c r="B221" s="8" t="s">
        <v>215</v>
      </c>
      <c r="C221" s="9"/>
      <c r="D221" s="164"/>
      <c r="E221" s="205"/>
      <c r="G221" s="126"/>
      <c r="H221" s="143">
        <f>G222+G224+G238</f>
        <v>3214068.9799999995</v>
      </c>
      <c r="I221" s="145">
        <f>H221/$K$202</f>
        <v>0.88052102779353469</v>
      </c>
      <c r="J221" s="69"/>
      <c r="K221" s="68"/>
      <c r="L221" s="194"/>
    </row>
    <row r="222" spans="1:12" x14ac:dyDescent="0.25">
      <c r="A222" s="32" t="s">
        <v>662</v>
      </c>
      <c r="B222" s="8" t="s">
        <v>217</v>
      </c>
      <c r="C222" s="9"/>
      <c r="D222" s="164"/>
      <c r="E222" s="205"/>
      <c r="G222" s="126">
        <v>18371.47</v>
      </c>
      <c r="H222" s="69"/>
      <c r="I222" s="146">
        <f>G222/$K$202</f>
        <v>5.0330175696721019E-3</v>
      </c>
      <c r="J222" s="69"/>
      <c r="K222" s="68"/>
      <c r="L222" s="194"/>
    </row>
    <row r="223" spans="1:12" x14ac:dyDescent="0.25">
      <c r="A223" s="33" t="s">
        <v>663</v>
      </c>
      <c r="B223" s="10" t="s">
        <v>219</v>
      </c>
      <c r="C223" s="9" t="s">
        <v>26</v>
      </c>
      <c r="D223" s="164">
        <v>23.52</v>
      </c>
      <c r="E223" s="205">
        <v>781.1</v>
      </c>
      <c r="G223" s="175">
        <v>18371.47</v>
      </c>
      <c r="H223" s="69"/>
      <c r="I223" s="146">
        <f t="shared" ref="I223:I240" si="25">G223/$K$202</f>
        <v>5.0330175696721019E-3</v>
      </c>
      <c r="J223" s="69"/>
      <c r="K223" s="68"/>
      <c r="L223" s="194"/>
    </row>
    <row r="224" spans="1:12" x14ac:dyDescent="0.25">
      <c r="A224" s="32" t="s">
        <v>664</v>
      </c>
      <c r="B224" s="8" t="s">
        <v>221</v>
      </c>
      <c r="C224" s="9"/>
      <c r="D224" s="164"/>
      <c r="E224" s="205"/>
      <c r="G224" s="126">
        <f>SUM(G225:G237)</f>
        <v>1966943.2999999998</v>
      </c>
      <c r="H224" s="69"/>
      <c r="I224" s="146">
        <f t="shared" si="25"/>
        <v>0.53886053687858526</v>
      </c>
      <c r="J224" s="69"/>
      <c r="K224" s="68"/>
      <c r="L224" s="194"/>
    </row>
    <row r="225" spans="1:12" x14ac:dyDescent="0.25">
      <c r="A225" s="33" t="s">
        <v>665</v>
      </c>
      <c r="B225" s="10" t="s">
        <v>223</v>
      </c>
      <c r="C225" s="9" t="s">
        <v>26</v>
      </c>
      <c r="D225" s="164">
        <v>161.69999999999999</v>
      </c>
      <c r="E225" s="205">
        <v>89.09</v>
      </c>
      <c r="G225" s="175">
        <v>14405.85</v>
      </c>
      <c r="H225" s="69"/>
      <c r="I225" s="146">
        <f t="shared" si="25"/>
        <v>3.9466028660777195E-3</v>
      </c>
      <c r="J225" s="69"/>
      <c r="K225" s="68"/>
      <c r="L225" s="194"/>
    </row>
    <row r="226" spans="1:12" x14ac:dyDescent="0.25">
      <c r="A226" s="33" t="s">
        <v>666</v>
      </c>
      <c r="B226" s="10" t="s">
        <v>225</v>
      </c>
      <c r="C226" s="9" t="s">
        <v>20</v>
      </c>
      <c r="D226" s="164">
        <v>80.849999999999994</v>
      </c>
      <c r="E226" s="205">
        <v>39.33</v>
      </c>
      <c r="G226" s="175">
        <v>3179.83</v>
      </c>
      <c r="H226" s="69"/>
      <c r="I226" s="146">
        <f t="shared" si="25"/>
        <v>8.7114097339899515E-4</v>
      </c>
      <c r="J226" s="69"/>
      <c r="K226" s="68"/>
      <c r="L226" s="194"/>
    </row>
    <row r="227" spans="1:12" x14ac:dyDescent="0.25">
      <c r="A227" s="33" t="s">
        <v>667</v>
      </c>
      <c r="B227" s="10" t="s">
        <v>65</v>
      </c>
      <c r="C227" s="9" t="s">
        <v>42</v>
      </c>
      <c r="D227" s="164">
        <v>9702</v>
      </c>
      <c r="E227" s="205">
        <v>11.15</v>
      </c>
      <c r="G227" s="175">
        <v>108177.3</v>
      </c>
      <c r="H227" s="69"/>
      <c r="I227" s="146">
        <f t="shared" si="25"/>
        <v>2.9636074388151294E-2</v>
      </c>
      <c r="J227" s="69"/>
      <c r="K227" s="68"/>
      <c r="L227" s="194"/>
    </row>
    <row r="228" spans="1:12" x14ac:dyDescent="0.25">
      <c r="A228" s="33" t="s">
        <v>668</v>
      </c>
      <c r="B228" s="10" t="s">
        <v>228</v>
      </c>
      <c r="C228" s="9" t="s">
        <v>26</v>
      </c>
      <c r="D228" s="164">
        <v>161.69999999999999</v>
      </c>
      <c r="E228" s="205">
        <v>875.73</v>
      </c>
      <c r="G228" s="175">
        <v>141605.54</v>
      </c>
      <c r="H228" s="69"/>
      <c r="I228" s="146">
        <f t="shared" si="25"/>
        <v>3.8794019791715394E-2</v>
      </c>
      <c r="J228" s="69"/>
      <c r="K228" s="68"/>
      <c r="L228" s="194"/>
    </row>
    <row r="229" spans="1:12" ht="25.5" x14ac:dyDescent="0.25">
      <c r="A229" s="33" t="s">
        <v>669</v>
      </c>
      <c r="B229" s="10" t="s">
        <v>230</v>
      </c>
      <c r="C229" s="9" t="s">
        <v>20</v>
      </c>
      <c r="D229" s="164">
        <v>557.87</v>
      </c>
      <c r="E229" s="205">
        <v>151.13</v>
      </c>
      <c r="G229" s="175">
        <v>84310.14</v>
      </c>
      <c r="H229" s="69"/>
      <c r="I229" s="146">
        <f t="shared" si="25"/>
        <v>2.3097466665515314E-2</v>
      </c>
      <c r="J229" s="69"/>
      <c r="K229" s="68"/>
      <c r="L229" s="194"/>
    </row>
    <row r="230" spans="1:12" x14ac:dyDescent="0.25">
      <c r="A230" s="33" t="s">
        <v>670</v>
      </c>
      <c r="B230" s="10" t="s">
        <v>232</v>
      </c>
      <c r="C230" s="9" t="s">
        <v>20</v>
      </c>
      <c r="D230" s="164">
        <v>388.08</v>
      </c>
      <c r="E230" s="205">
        <v>51.45</v>
      </c>
      <c r="G230" s="175">
        <v>19966.72</v>
      </c>
      <c r="H230" s="69"/>
      <c r="I230" s="146">
        <f t="shared" si="25"/>
        <v>5.4700496241576399E-3</v>
      </c>
      <c r="J230" s="69"/>
      <c r="K230" s="68"/>
      <c r="L230" s="194"/>
    </row>
    <row r="231" spans="1:12" x14ac:dyDescent="0.25">
      <c r="A231" s="33" t="s">
        <v>671</v>
      </c>
      <c r="B231" s="10" t="s">
        <v>234</v>
      </c>
      <c r="C231" s="9" t="s">
        <v>20</v>
      </c>
      <c r="D231" s="164">
        <v>1334.03</v>
      </c>
      <c r="E231" s="205">
        <v>56.18</v>
      </c>
      <c r="G231" s="175">
        <v>74945.52</v>
      </c>
      <c r="H231" s="69"/>
      <c r="I231" s="146">
        <f t="shared" si="25"/>
        <v>2.0531950841615392E-2</v>
      </c>
      <c r="J231" s="69"/>
      <c r="K231" s="68"/>
      <c r="L231" s="194"/>
    </row>
    <row r="232" spans="1:12" x14ac:dyDescent="0.25">
      <c r="A232" s="33" t="s">
        <v>672</v>
      </c>
      <c r="B232" s="10" t="s">
        <v>236</v>
      </c>
      <c r="C232" s="9" t="s">
        <v>42</v>
      </c>
      <c r="D232" s="164">
        <v>20309.52</v>
      </c>
      <c r="E232" s="205">
        <v>14.93</v>
      </c>
      <c r="G232" s="175">
        <v>303221.13</v>
      </c>
      <c r="H232" s="69"/>
      <c r="I232" s="146">
        <f t="shared" si="25"/>
        <v>8.306995982280288E-2</v>
      </c>
      <c r="J232" s="69"/>
      <c r="K232" s="68"/>
      <c r="L232" s="194"/>
    </row>
    <row r="233" spans="1:12" x14ac:dyDescent="0.25">
      <c r="A233" s="33" t="s">
        <v>673</v>
      </c>
      <c r="B233" s="10" t="s">
        <v>238</v>
      </c>
      <c r="C233" s="9" t="s">
        <v>42</v>
      </c>
      <c r="D233" s="164">
        <v>17770.830000000002</v>
      </c>
      <c r="E233" s="205">
        <v>14.32</v>
      </c>
      <c r="G233" s="175">
        <v>254478.29</v>
      </c>
      <c r="H233" s="69"/>
      <c r="I233" s="146">
        <f t="shared" si="25"/>
        <v>6.9716451904508037E-2</v>
      </c>
      <c r="J233" s="69"/>
      <c r="K233" s="68"/>
      <c r="L233" s="194"/>
    </row>
    <row r="234" spans="1:12" x14ac:dyDescent="0.25">
      <c r="A234" s="33" t="s">
        <v>674</v>
      </c>
      <c r="B234" s="10" t="s">
        <v>240</v>
      </c>
      <c r="C234" s="9" t="s">
        <v>42</v>
      </c>
      <c r="D234" s="164">
        <v>12693.45</v>
      </c>
      <c r="E234" s="205">
        <v>10.039999999999999</v>
      </c>
      <c r="G234" s="175">
        <v>127442.24000000001</v>
      </c>
      <c r="H234" s="69"/>
      <c r="I234" s="146">
        <f t="shared" si="25"/>
        <v>3.4913865522920522E-2</v>
      </c>
      <c r="J234" s="69"/>
      <c r="K234" s="68"/>
      <c r="L234" s="194"/>
    </row>
    <row r="235" spans="1:12" x14ac:dyDescent="0.25">
      <c r="A235" s="33" t="s">
        <v>675</v>
      </c>
      <c r="B235" s="10" t="s">
        <v>242</v>
      </c>
      <c r="C235" s="9" t="s">
        <v>26</v>
      </c>
      <c r="D235" s="164">
        <v>32.340000000000003</v>
      </c>
      <c r="E235" s="205">
        <v>805.4</v>
      </c>
      <c r="G235" s="175">
        <v>26046.639999999999</v>
      </c>
      <c r="H235" s="69"/>
      <c r="I235" s="146">
        <f t="shared" si="25"/>
        <v>7.1356944627144229E-3</v>
      </c>
      <c r="J235" s="69"/>
      <c r="K235" s="68"/>
      <c r="L235" s="194"/>
    </row>
    <row r="236" spans="1:12" x14ac:dyDescent="0.25">
      <c r="A236" s="33" t="s">
        <v>676</v>
      </c>
      <c r="B236" s="10" t="s">
        <v>244</v>
      </c>
      <c r="C236" s="9" t="s">
        <v>26</v>
      </c>
      <c r="D236" s="164">
        <v>751.91</v>
      </c>
      <c r="E236" s="205">
        <v>641.98</v>
      </c>
      <c r="G236" s="175">
        <v>482707.97</v>
      </c>
      <c r="H236" s="69"/>
      <c r="I236" s="146">
        <f t="shared" si="25"/>
        <v>0.13224187797877651</v>
      </c>
      <c r="J236" s="69"/>
      <c r="K236" s="68"/>
      <c r="L236" s="194"/>
    </row>
    <row r="237" spans="1:12" x14ac:dyDescent="0.25">
      <c r="A237" s="33" t="s">
        <v>677</v>
      </c>
      <c r="B237" s="10" t="s">
        <v>246</v>
      </c>
      <c r="C237" s="9" t="s">
        <v>57</v>
      </c>
      <c r="D237" s="164">
        <v>1617</v>
      </c>
      <c r="E237" s="205">
        <v>201.89</v>
      </c>
      <c r="G237" s="175">
        <v>326456.13</v>
      </c>
      <c r="H237" s="69"/>
      <c r="I237" s="146">
        <f t="shared" si="25"/>
        <v>8.9435382036231165E-2</v>
      </c>
      <c r="J237" s="69"/>
      <c r="K237" s="68"/>
      <c r="L237" s="194"/>
    </row>
    <row r="238" spans="1:12" x14ac:dyDescent="0.25">
      <c r="A238" s="32" t="s">
        <v>678</v>
      </c>
      <c r="B238" s="8" t="s">
        <v>248</v>
      </c>
      <c r="C238" s="9"/>
      <c r="D238" s="164"/>
      <c r="E238" s="205"/>
      <c r="G238" s="126">
        <f>G239+G240</f>
        <v>1228754.21</v>
      </c>
      <c r="H238" s="69"/>
      <c r="I238" s="146">
        <f t="shared" si="25"/>
        <v>0.33662747334527737</v>
      </c>
      <c r="J238" s="69"/>
      <c r="K238" s="68"/>
      <c r="L238" s="194"/>
    </row>
    <row r="239" spans="1:12" x14ac:dyDescent="0.25">
      <c r="A239" s="33" t="s">
        <v>679</v>
      </c>
      <c r="B239" s="10" t="s">
        <v>250</v>
      </c>
      <c r="C239" s="9" t="s">
        <v>26</v>
      </c>
      <c r="D239" s="164">
        <v>283.5</v>
      </c>
      <c r="E239" s="205">
        <v>3911.67</v>
      </c>
      <c r="G239" s="175">
        <v>1108958.45</v>
      </c>
      <c r="H239" s="69"/>
      <c r="I239" s="146">
        <f t="shared" si="25"/>
        <v>0.30380842485039794</v>
      </c>
      <c r="J239" s="69"/>
      <c r="K239" s="68"/>
      <c r="L239" s="194"/>
    </row>
    <row r="240" spans="1:12" x14ac:dyDescent="0.25">
      <c r="A240" s="33" t="s">
        <v>680</v>
      </c>
      <c r="B240" s="10" t="s">
        <v>252</v>
      </c>
      <c r="C240" s="9" t="s">
        <v>57</v>
      </c>
      <c r="D240" s="164">
        <v>1134</v>
      </c>
      <c r="E240" s="205">
        <v>105.64</v>
      </c>
      <c r="G240" s="175">
        <v>119795.76</v>
      </c>
      <c r="H240" s="69"/>
      <c r="I240" s="146">
        <f t="shared" si="25"/>
        <v>3.2819048494879412E-2</v>
      </c>
      <c r="J240" s="69"/>
      <c r="K240" s="68"/>
      <c r="L240" s="194"/>
    </row>
    <row r="241" spans="1:12" x14ac:dyDescent="0.25">
      <c r="A241" s="32" t="s">
        <v>681</v>
      </c>
      <c r="B241" s="8" t="s">
        <v>254</v>
      </c>
      <c r="C241" s="9"/>
      <c r="D241" s="164"/>
      <c r="E241" s="205"/>
      <c r="G241" s="126"/>
      <c r="H241" s="143">
        <f>G242+G244</f>
        <v>215241.56</v>
      </c>
      <c r="I241" s="145">
        <f>H241/$K$202</f>
        <v>5.8967222176757324E-2</v>
      </c>
      <c r="J241" s="69"/>
      <c r="K241" s="68"/>
      <c r="L241" s="194"/>
    </row>
    <row r="242" spans="1:12" x14ac:dyDescent="0.25">
      <c r="A242" s="32" t="s">
        <v>682</v>
      </c>
      <c r="B242" s="8" t="s">
        <v>256</v>
      </c>
      <c r="C242" s="9"/>
      <c r="D242" s="164"/>
      <c r="E242" s="205"/>
      <c r="G242" s="126">
        <v>47983.26</v>
      </c>
      <c r="H242" s="69"/>
      <c r="I242" s="146">
        <f>G242/$K$202</f>
        <v>1.314541463639788E-2</v>
      </c>
      <c r="J242" s="69"/>
      <c r="K242" s="68"/>
      <c r="L242" s="194"/>
    </row>
    <row r="243" spans="1:12" x14ac:dyDescent="0.25">
      <c r="A243" s="33" t="s">
        <v>683</v>
      </c>
      <c r="B243" s="10" t="s">
        <v>258</v>
      </c>
      <c r="C243" s="9" t="s">
        <v>57</v>
      </c>
      <c r="D243" s="164">
        <v>681</v>
      </c>
      <c r="E243" s="205">
        <v>70.459999999999994</v>
      </c>
      <c r="G243" s="175">
        <v>47983.26</v>
      </c>
      <c r="H243" s="69"/>
      <c r="I243" s="146">
        <f t="shared" ref="I243:I245" si="26">G243/$K$202</f>
        <v>1.314541463639788E-2</v>
      </c>
      <c r="J243" s="69"/>
      <c r="K243" s="68"/>
      <c r="L243" s="194"/>
    </row>
    <row r="244" spans="1:12" x14ac:dyDescent="0.25">
      <c r="A244" s="32" t="s">
        <v>684</v>
      </c>
      <c r="B244" s="8" t="s">
        <v>578</v>
      </c>
      <c r="C244" s="9"/>
      <c r="D244" s="164"/>
      <c r="E244" s="205"/>
      <c r="G244" s="126">
        <v>167258.29999999999</v>
      </c>
      <c r="H244" s="69"/>
      <c r="I244" s="146">
        <f t="shared" si="26"/>
        <v>4.5821807540359437E-2</v>
      </c>
      <c r="J244" s="69"/>
      <c r="K244" s="68"/>
      <c r="L244" s="194"/>
    </row>
    <row r="245" spans="1:12" x14ac:dyDescent="0.25">
      <c r="A245" s="33" t="s">
        <v>685</v>
      </c>
      <c r="B245" s="10" t="s">
        <v>579</v>
      </c>
      <c r="C245" s="9" t="s">
        <v>57</v>
      </c>
      <c r="D245" s="164">
        <v>601</v>
      </c>
      <c r="E245" s="205">
        <v>278.3</v>
      </c>
      <c r="G245" s="175">
        <v>167258.29999999999</v>
      </c>
      <c r="H245" s="69"/>
      <c r="I245" s="146">
        <f t="shared" si="26"/>
        <v>4.5821807540359437E-2</v>
      </c>
      <c r="J245" s="69"/>
      <c r="K245" s="68"/>
      <c r="L245" s="194"/>
    </row>
    <row r="246" spans="1:12" x14ac:dyDescent="0.25">
      <c r="A246" s="32" t="s">
        <v>686</v>
      </c>
      <c r="B246" s="8" t="s">
        <v>260</v>
      </c>
      <c r="C246" s="9"/>
      <c r="D246" s="164"/>
      <c r="E246" s="205"/>
      <c r="G246" s="126"/>
      <c r="H246" s="143">
        <f>G247+G249</f>
        <v>31672</v>
      </c>
      <c r="I246" s="145">
        <f>H246/$K$202</f>
        <v>8.6768087946503362E-3</v>
      </c>
      <c r="J246" s="69"/>
      <c r="K246" s="68"/>
      <c r="L246" s="194"/>
    </row>
    <row r="247" spans="1:12" x14ac:dyDescent="0.25">
      <c r="A247" s="32" t="s">
        <v>687</v>
      </c>
      <c r="B247" s="8" t="s">
        <v>262</v>
      </c>
      <c r="C247" s="9"/>
      <c r="D247" s="164"/>
      <c r="E247" s="205"/>
      <c r="G247" s="126">
        <v>19000</v>
      </c>
      <c r="H247" s="69"/>
      <c r="I247" s="146">
        <f>G247/$K$202</f>
        <v>5.205208610076925E-3</v>
      </c>
      <c r="J247" s="69"/>
      <c r="K247" s="68"/>
      <c r="L247" s="194"/>
    </row>
    <row r="248" spans="1:12" x14ac:dyDescent="0.25">
      <c r="A248" s="33" t="s">
        <v>688</v>
      </c>
      <c r="B248" s="10" t="s">
        <v>264</v>
      </c>
      <c r="C248" s="9" t="s">
        <v>23</v>
      </c>
      <c r="D248" s="164">
        <v>38</v>
      </c>
      <c r="E248" s="205">
        <v>500</v>
      </c>
      <c r="G248" s="175">
        <v>19000</v>
      </c>
      <c r="H248" s="69"/>
      <c r="I248" s="146">
        <f t="shared" ref="I248:I250" si="27">G248/$K$202</f>
        <v>5.205208610076925E-3</v>
      </c>
      <c r="J248" s="69"/>
      <c r="K248" s="68"/>
      <c r="L248" s="194"/>
    </row>
    <row r="249" spans="1:12" x14ac:dyDescent="0.25">
      <c r="A249" s="32" t="s">
        <v>689</v>
      </c>
      <c r="B249" s="8" t="s">
        <v>266</v>
      </c>
      <c r="C249" s="9"/>
      <c r="D249" s="164"/>
      <c r="E249" s="205"/>
      <c r="G249" s="126">
        <v>12672</v>
      </c>
      <c r="H249" s="69"/>
      <c r="I249" s="146">
        <f t="shared" si="27"/>
        <v>3.4716001845734104E-3</v>
      </c>
      <c r="J249" s="69"/>
      <c r="K249" s="68"/>
      <c r="L249" s="194"/>
    </row>
    <row r="250" spans="1:12" x14ac:dyDescent="0.25">
      <c r="A250" s="33" t="s">
        <v>690</v>
      </c>
      <c r="B250" s="10" t="s">
        <v>268</v>
      </c>
      <c r="C250" s="9" t="s">
        <v>23</v>
      </c>
      <c r="D250" s="164">
        <v>9</v>
      </c>
      <c r="E250" s="205">
        <v>1408</v>
      </c>
      <c r="G250" s="175">
        <v>12672</v>
      </c>
      <c r="H250" s="69"/>
      <c r="I250" s="146">
        <f t="shared" si="27"/>
        <v>3.4716001845734104E-3</v>
      </c>
      <c r="J250" s="69"/>
      <c r="K250" s="68"/>
      <c r="L250" s="194"/>
    </row>
    <row r="251" spans="1:12" ht="13.5" thickBot="1" x14ac:dyDescent="0.3">
      <c r="A251" s="84"/>
      <c r="B251" s="85" t="s">
        <v>269</v>
      </c>
      <c r="C251" s="36"/>
      <c r="D251" s="168"/>
      <c r="E251" s="208"/>
      <c r="F251" s="157"/>
      <c r="G251" s="195"/>
      <c r="H251" s="203"/>
      <c r="I251" s="196"/>
      <c r="J251" s="203"/>
      <c r="K251" s="78"/>
      <c r="L251" s="198"/>
    </row>
    <row r="253" spans="1:12" s="7" customFormat="1" ht="15" x14ac:dyDescent="0.25">
      <c r="A253" s="11"/>
      <c r="B253" s="98" t="s">
        <v>271</v>
      </c>
      <c r="C253" s="9"/>
      <c r="D253" s="99"/>
      <c r="E253" s="95"/>
      <c r="G253" s="277">
        <f>SUM(K5:K200)</f>
        <v>5377490.3800000008</v>
      </c>
      <c r="H253" s="277"/>
      <c r="I253" s="277"/>
      <c r="J253" s="277"/>
      <c r="K253" s="277"/>
      <c r="L253" s="163">
        <v>1</v>
      </c>
    </row>
    <row r="254" spans="1:12" s="7" customFormat="1" ht="15" x14ac:dyDescent="0.25">
      <c r="A254" s="18"/>
      <c r="B254" s="98" t="s">
        <v>272</v>
      </c>
      <c r="C254" s="18"/>
      <c r="D254" s="144"/>
      <c r="E254" s="132"/>
      <c r="G254" s="277">
        <f>K202</f>
        <v>3650189.9199999995</v>
      </c>
      <c r="H254" s="277"/>
      <c r="I254" s="277"/>
      <c r="J254" s="277"/>
      <c r="K254" s="277"/>
      <c r="L254" s="163">
        <v>1</v>
      </c>
    </row>
    <row r="255" spans="1:12" s="7" customFormat="1" ht="15" x14ac:dyDescent="0.25">
      <c r="A255" s="18"/>
      <c r="B255" s="98" t="s">
        <v>270</v>
      </c>
      <c r="C255" s="18"/>
      <c r="D255" s="144"/>
      <c r="E255" s="132"/>
      <c r="G255" s="277">
        <f>G253+G254</f>
        <v>9027680.3000000007</v>
      </c>
      <c r="H255" s="277"/>
      <c r="I255" s="277"/>
      <c r="J255" s="277"/>
      <c r="K255" s="277"/>
      <c r="L255" s="126"/>
    </row>
  </sheetData>
  <mergeCells count="5">
    <mergeCell ref="G3:L3"/>
    <mergeCell ref="G4:H4"/>
    <mergeCell ref="G253:K253"/>
    <mergeCell ref="G254:K254"/>
    <mergeCell ref="G255:K255"/>
  </mergeCells>
  <pageMargins left="0.511811024" right="0.511811024" top="0.78740157499999996" bottom="0.78740157499999996" header="0.31496062000000002" footer="0.31496062000000002"/>
  <pageSetup paperSize="8" scale="70" fitToHeight="0" orientation="landscape" horizontalDpi="1200" verticalDpi="1200" r:id="rId1"/>
  <ignoredErrors>
    <ignoredError sqref="I15 I12 I26 I48 I79 I61 I110 I92 I139 I123 I153 I150 I182 I164 I193 I246 I241 I221 I216"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32B1D-AA53-4354-B057-AE2159FF8355}">
  <sheetPr>
    <pageSetUpPr fitToPage="1"/>
  </sheetPr>
  <dimension ref="A1:L39"/>
  <sheetViews>
    <sheetView workbookViewId="0">
      <pane ySplit="4" topLeftCell="A5" activePane="bottomLeft" state="frozen"/>
      <selection pane="bottomLeft" activeCell="G43" sqref="G43"/>
    </sheetView>
  </sheetViews>
  <sheetFormatPr defaultColWidth="9.140625" defaultRowHeight="12.75" x14ac:dyDescent="0.25"/>
  <cols>
    <col min="1" max="1" width="15.7109375" style="63" customWidth="1"/>
    <col min="2" max="2" width="116" style="41" customWidth="1"/>
    <col min="3" max="3" width="6.7109375" style="42" customWidth="1"/>
    <col min="4" max="4" width="10.7109375" style="43" customWidth="1"/>
    <col min="5" max="5" width="16.7109375" style="61" customWidth="1"/>
    <col min="6" max="6" width="2.85546875" style="62" customWidth="1"/>
    <col min="7" max="7" width="21.85546875" style="103" customWidth="1"/>
    <col min="8" max="8" width="20.28515625" style="62" customWidth="1"/>
    <col min="9" max="9" width="16.140625" style="42" customWidth="1"/>
    <col min="10" max="10" width="0.85546875" style="62" customWidth="1"/>
    <col min="11" max="11" width="15.5703125" style="62" bestFit="1" customWidth="1"/>
    <col min="12" max="16384" width="9.140625" style="62"/>
  </cols>
  <sheetData>
    <row r="1" spans="1:12" x14ac:dyDescent="0.25">
      <c r="A1" s="59" t="s">
        <v>4</v>
      </c>
    </row>
    <row r="3" spans="1:12" x14ac:dyDescent="0.25">
      <c r="A3" s="59" t="s">
        <v>766</v>
      </c>
      <c r="G3" s="294" t="s">
        <v>11</v>
      </c>
      <c r="H3" s="294"/>
      <c r="I3" s="294"/>
      <c r="J3" s="294"/>
      <c r="K3" s="294"/>
      <c r="L3" s="294"/>
    </row>
    <row r="4" spans="1:12" ht="13.5" thickBot="1" x14ac:dyDescent="0.3">
      <c r="A4" s="46" t="s">
        <v>6</v>
      </c>
      <c r="B4" s="47" t="s">
        <v>7</v>
      </c>
      <c r="C4" s="46" t="s">
        <v>8</v>
      </c>
      <c r="D4" s="48" t="s">
        <v>9</v>
      </c>
      <c r="E4" s="178" t="s">
        <v>10</v>
      </c>
      <c r="G4" s="295" t="s">
        <v>273</v>
      </c>
      <c r="H4" s="296"/>
      <c r="I4" s="104" t="s">
        <v>275</v>
      </c>
      <c r="J4" s="141"/>
      <c r="K4" s="93" t="s">
        <v>274</v>
      </c>
      <c r="L4" s="104" t="s">
        <v>12</v>
      </c>
    </row>
    <row r="5" spans="1:12" x14ac:dyDescent="0.25">
      <c r="A5" s="218">
        <v>1</v>
      </c>
      <c r="B5" s="219" t="s">
        <v>765</v>
      </c>
      <c r="C5" s="220"/>
      <c r="D5" s="221"/>
      <c r="E5" s="222"/>
      <c r="F5" s="156"/>
      <c r="G5" s="223"/>
      <c r="H5" s="224"/>
      <c r="I5" s="225"/>
      <c r="J5" s="224"/>
      <c r="K5" s="184">
        <f>SUM(H6:H35)</f>
        <v>1086649.45</v>
      </c>
      <c r="L5" s="158">
        <v>1</v>
      </c>
    </row>
    <row r="6" spans="1:12" x14ac:dyDescent="0.25">
      <c r="A6" s="32" t="s">
        <v>691</v>
      </c>
      <c r="B6" s="8" t="s">
        <v>15</v>
      </c>
      <c r="C6" s="9"/>
      <c r="D6" s="164"/>
      <c r="E6" s="13"/>
      <c r="F6" s="67"/>
      <c r="G6" s="109"/>
      <c r="H6" s="143">
        <f>G7</f>
        <v>25706.36</v>
      </c>
      <c r="I6" s="145">
        <f>H6/$K$5</f>
        <v>2.3656534312882598E-2</v>
      </c>
      <c r="J6" s="69"/>
      <c r="K6" s="67"/>
      <c r="L6" s="185"/>
    </row>
    <row r="7" spans="1:12" x14ac:dyDescent="0.25">
      <c r="A7" s="32" t="s">
        <v>692</v>
      </c>
      <c r="B7" s="8" t="s">
        <v>17</v>
      </c>
      <c r="C7" s="9"/>
      <c r="D7" s="164"/>
      <c r="E7" s="13"/>
      <c r="F7" s="67"/>
      <c r="G7" s="109">
        <f>SUM(G8:G11)</f>
        <v>25706.36</v>
      </c>
      <c r="H7" s="69"/>
      <c r="I7" s="146">
        <f>G7/$K$5</f>
        <v>2.3656534312882598E-2</v>
      </c>
      <c r="J7" s="69"/>
      <c r="K7" s="69"/>
      <c r="L7" s="75"/>
    </row>
    <row r="8" spans="1:12" x14ac:dyDescent="0.25">
      <c r="A8" s="33" t="s">
        <v>693</v>
      </c>
      <c r="B8" s="10" t="s">
        <v>19</v>
      </c>
      <c r="C8" s="9" t="s">
        <v>20</v>
      </c>
      <c r="D8" s="164">
        <v>937</v>
      </c>
      <c r="E8" s="13">
        <v>4.38</v>
      </c>
      <c r="F8" s="67"/>
      <c r="G8" s="95">
        <v>4104.0600000000004</v>
      </c>
      <c r="H8" s="69"/>
      <c r="I8" s="146">
        <f>G8/$K$5</f>
        <v>3.7768021692736334E-3</v>
      </c>
      <c r="J8" s="69"/>
      <c r="K8" s="69"/>
      <c r="L8" s="75"/>
    </row>
    <row r="9" spans="1:12" x14ac:dyDescent="0.25">
      <c r="A9" s="33" t="s">
        <v>694</v>
      </c>
      <c r="B9" s="10" t="s">
        <v>22</v>
      </c>
      <c r="C9" s="9" t="s">
        <v>23</v>
      </c>
      <c r="D9" s="164">
        <v>23.43</v>
      </c>
      <c r="E9" s="13">
        <v>217.25</v>
      </c>
      <c r="F9" s="67"/>
      <c r="G9" s="95">
        <v>5089.08</v>
      </c>
      <c r="H9" s="69"/>
      <c r="I9" s="146">
        <f>G9/$K$5</f>
        <v>4.6832766537543459E-3</v>
      </c>
      <c r="J9" s="69"/>
      <c r="K9" s="69"/>
      <c r="L9" s="75"/>
    </row>
    <row r="10" spans="1:12" x14ac:dyDescent="0.25">
      <c r="A10" s="33" t="s">
        <v>695</v>
      </c>
      <c r="B10" s="10" t="s">
        <v>25</v>
      </c>
      <c r="C10" s="9" t="s">
        <v>26</v>
      </c>
      <c r="D10" s="164">
        <v>281.10000000000002</v>
      </c>
      <c r="E10" s="13">
        <v>17.54</v>
      </c>
      <c r="F10" s="67"/>
      <c r="G10" s="95">
        <v>4930.49</v>
      </c>
      <c r="H10" s="69"/>
      <c r="I10" s="146">
        <f>G10/$K$5</f>
        <v>4.5373326236901879E-3</v>
      </c>
      <c r="J10" s="69"/>
      <c r="K10" s="69"/>
      <c r="L10" s="75"/>
    </row>
    <row r="11" spans="1:12" x14ac:dyDescent="0.25">
      <c r="A11" s="33" t="s">
        <v>696</v>
      </c>
      <c r="B11" s="10" t="s">
        <v>28</v>
      </c>
      <c r="C11" s="9" t="s">
        <v>29</v>
      </c>
      <c r="D11" s="164">
        <v>5650.11</v>
      </c>
      <c r="E11" s="13">
        <v>2.0499999999999998</v>
      </c>
      <c r="F11" s="67"/>
      <c r="G11" s="95">
        <v>11582.73</v>
      </c>
      <c r="H11" s="69"/>
      <c r="I11" s="146">
        <f>G11/$K$5</f>
        <v>1.0659122866164428E-2</v>
      </c>
      <c r="J11" s="69"/>
      <c r="K11" s="69"/>
      <c r="L11" s="75"/>
    </row>
    <row r="12" spans="1:12" x14ac:dyDescent="0.25">
      <c r="A12" s="32" t="s">
        <v>697</v>
      </c>
      <c r="B12" s="8" t="s">
        <v>31</v>
      </c>
      <c r="C12" s="9"/>
      <c r="D12" s="164"/>
      <c r="E12" s="13"/>
      <c r="F12" s="67"/>
      <c r="G12" s="109"/>
      <c r="H12" s="143">
        <f>G13+G15</f>
        <v>1053263.4099999999</v>
      </c>
      <c r="I12" s="145">
        <f>H12/$K$5</f>
        <v>0.96927616353185464</v>
      </c>
      <c r="J12" s="69"/>
      <c r="K12" s="69"/>
      <c r="L12" s="75"/>
    </row>
    <row r="13" spans="1:12" x14ac:dyDescent="0.25">
      <c r="A13" s="32" t="s">
        <v>698</v>
      </c>
      <c r="B13" s="8" t="s">
        <v>33</v>
      </c>
      <c r="C13" s="9"/>
      <c r="D13" s="164"/>
      <c r="E13" s="13"/>
      <c r="F13" s="67"/>
      <c r="G13" s="109">
        <f>G14</f>
        <v>528304</v>
      </c>
      <c r="H13" s="69"/>
      <c r="I13" s="146">
        <f t="shared" ref="I13:I29" si="0">G13/$K$5</f>
        <v>0.48617702792745171</v>
      </c>
      <c r="J13" s="69"/>
      <c r="K13" s="69"/>
      <c r="L13" s="75"/>
    </row>
    <row r="14" spans="1:12" ht="25.5" x14ac:dyDescent="0.25">
      <c r="A14" s="33" t="s">
        <v>699</v>
      </c>
      <c r="B14" s="10" t="s">
        <v>35</v>
      </c>
      <c r="C14" s="9" t="s">
        <v>20</v>
      </c>
      <c r="D14" s="164">
        <v>700</v>
      </c>
      <c r="E14" s="13">
        <v>754.72</v>
      </c>
      <c r="F14" s="67"/>
      <c r="G14" s="95">
        <v>528304</v>
      </c>
      <c r="H14" s="69"/>
      <c r="I14" s="146">
        <f t="shared" si="0"/>
        <v>0.48617702792745171</v>
      </c>
      <c r="J14" s="69"/>
      <c r="K14" s="69"/>
      <c r="L14" s="75"/>
    </row>
    <row r="15" spans="1:12" x14ac:dyDescent="0.25">
      <c r="A15" s="32" t="s">
        <v>700</v>
      </c>
      <c r="B15" s="8" t="s">
        <v>37</v>
      </c>
      <c r="C15" s="9"/>
      <c r="D15" s="164"/>
      <c r="E15" s="13"/>
      <c r="F15" s="67"/>
      <c r="G15" s="109">
        <f>SUM(G16:G29)</f>
        <v>524959.40999999992</v>
      </c>
      <c r="H15" s="69"/>
      <c r="I15" s="146">
        <f t="shared" si="0"/>
        <v>0.48309913560440298</v>
      </c>
      <c r="J15" s="69"/>
      <c r="K15" s="69"/>
      <c r="L15" s="75"/>
    </row>
    <row r="16" spans="1:12" x14ac:dyDescent="0.25">
      <c r="A16" s="33" t="s">
        <v>701</v>
      </c>
      <c r="B16" s="10" t="s">
        <v>39</v>
      </c>
      <c r="C16" s="9" t="s">
        <v>26</v>
      </c>
      <c r="D16" s="164">
        <v>94.8</v>
      </c>
      <c r="E16" s="13">
        <v>641.26</v>
      </c>
      <c r="F16" s="67"/>
      <c r="G16" s="95">
        <v>60791.45</v>
      </c>
      <c r="H16" s="69"/>
      <c r="I16" s="146">
        <f t="shared" si="0"/>
        <v>5.5943938498289394E-2</v>
      </c>
      <c r="J16" s="69"/>
      <c r="K16" s="69"/>
      <c r="L16" s="75"/>
    </row>
    <row r="17" spans="1:12" x14ac:dyDescent="0.25">
      <c r="A17" s="33" t="s">
        <v>702</v>
      </c>
      <c r="B17" s="10" t="s">
        <v>41</v>
      </c>
      <c r="C17" s="9" t="s">
        <v>42</v>
      </c>
      <c r="D17" s="164">
        <v>2370</v>
      </c>
      <c r="E17" s="13">
        <v>8.64</v>
      </c>
      <c r="F17" s="67"/>
      <c r="G17" s="95">
        <v>20476.8</v>
      </c>
      <c r="H17" s="69"/>
      <c r="I17" s="146">
        <f t="shared" si="0"/>
        <v>1.8843979537283159E-2</v>
      </c>
      <c r="J17" s="69"/>
      <c r="K17" s="69"/>
      <c r="L17" s="75"/>
    </row>
    <row r="18" spans="1:12" x14ac:dyDescent="0.25">
      <c r="A18" s="33" t="s">
        <v>703</v>
      </c>
      <c r="B18" s="10" t="s">
        <v>44</v>
      </c>
      <c r="C18" s="9" t="s">
        <v>42</v>
      </c>
      <c r="D18" s="164">
        <v>4266</v>
      </c>
      <c r="E18" s="13">
        <v>9.66</v>
      </c>
      <c r="F18" s="67"/>
      <c r="G18" s="95">
        <v>41209.56</v>
      </c>
      <c r="H18" s="69"/>
      <c r="I18" s="146">
        <f t="shared" si="0"/>
        <v>3.7923508818782356E-2</v>
      </c>
      <c r="J18" s="69"/>
      <c r="K18" s="69"/>
      <c r="L18" s="75"/>
    </row>
    <row r="19" spans="1:12" x14ac:dyDescent="0.25">
      <c r="A19" s="33" t="s">
        <v>704</v>
      </c>
      <c r="B19" s="10" t="s">
        <v>46</v>
      </c>
      <c r="C19" s="9" t="s">
        <v>42</v>
      </c>
      <c r="D19" s="164">
        <v>4266</v>
      </c>
      <c r="E19" s="13">
        <v>8.84</v>
      </c>
      <c r="F19" s="67"/>
      <c r="G19" s="95">
        <v>37711.440000000002</v>
      </c>
      <c r="H19" s="69"/>
      <c r="I19" s="146">
        <f t="shared" si="0"/>
        <v>3.4704328981163157E-2</v>
      </c>
      <c r="J19" s="69"/>
      <c r="K19" s="69"/>
      <c r="L19" s="75"/>
    </row>
    <row r="20" spans="1:12" x14ac:dyDescent="0.25">
      <c r="A20" s="33" t="s">
        <v>705</v>
      </c>
      <c r="B20" s="10" t="s">
        <v>48</v>
      </c>
      <c r="C20" s="9" t="s">
        <v>26</v>
      </c>
      <c r="D20" s="164">
        <v>189.6</v>
      </c>
      <c r="E20" s="13">
        <v>25.13</v>
      </c>
      <c r="F20" s="67"/>
      <c r="G20" s="95">
        <v>4764.6499999999996</v>
      </c>
      <c r="H20" s="69"/>
      <c r="I20" s="146">
        <f t="shared" si="0"/>
        <v>4.3847167087785301E-3</v>
      </c>
      <c r="J20" s="69"/>
      <c r="K20" s="69"/>
      <c r="L20" s="75"/>
    </row>
    <row r="21" spans="1:12" x14ac:dyDescent="0.25">
      <c r="A21" s="33" t="s">
        <v>706</v>
      </c>
      <c r="B21" s="10" t="s">
        <v>50</v>
      </c>
      <c r="C21" s="9" t="s">
        <v>26</v>
      </c>
      <c r="D21" s="164">
        <v>4.74</v>
      </c>
      <c r="E21" s="13">
        <v>900.01</v>
      </c>
      <c r="F21" s="67"/>
      <c r="G21" s="95">
        <v>4266.05</v>
      </c>
      <c r="H21" s="69"/>
      <c r="I21" s="146">
        <f t="shared" si="0"/>
        <v>3.9258750832662738E-3</v>
      </c>
      <c r="J21" s="69"/>
      <c r="K21" s="69"/>
      <c r="L21" s="75"/>
    </row>
    <row r="22" spans="1:12" x14ac:dyDescent="0.25">
      <c r="A22" s="33" t="s">
        <v>707</v>
      </c>
      <c r="B22" s="10" t="s">
        <v>52</v>
      </c>
      <c r="C22" s="9" t="s">
        <v>26</v>
      </c>
      <c r="D22" s="164">
        <v>4.74</v>
      </c>
      <c r="E22" s="13">
        <v>1002.12</v>
      </c>
      <c r="F22" s="67"/>
      <c r="G22" s="95">
        <v>4750.05</v>
      </c>
      <c r="H22" s="69"/>
      <c r="I22" s="146">
        <f t="shared" si="0"/>
        <v>4.3712809130856322E-3</v>
      </c>
      <c r="J22" s="69"/>
      <c r="K22" s="69"/>
      <c r="L22" s="75"/>
    </row>
    <row r="23" spans="1:12" x14ac:dyDescent="0.25">
      <c r="A23" s="33" t="s">
        <v>708</v>
      </c>
      <c r="B23" s="10" t="s">
        <v>54</v>
      </c>
      <c r="C23" s="9" t="s">
        <v>26</v>
      </c>
      <c r="D23" s="164">
        <v>118.5</v>
      </c>
      <c r="E23" s="13">
        <v>1037.21</v>
      </c>
      <c r="F23" s="67"/>
      <c r="G23" s="95">
        <v>122909.38</v>
      </c>
      <c r="H23" s="69"/>
      <c r="I23" s="146">
        <f t="shared" si="0"/>
        <v>0.11310858345347712</v>
      </c>
      <c r="J23" s="69"/>
      <c r="K23" s="69"/>
      <c r="L23" s="75"/>
    </row>
    <row r="24" spans="1:12" x14ac:dyDescent="0.25">
      <c r="A24" s="33" t="s">
        <v>709</v>
      </c>
      <c r="B24" s="10" t="s">
        <v>56</v>
      </c>
      <c r="C24" s="9" t="s">
        <v>57</v>
      </c>
      <c r="D24" s="164">
        <v>118.5</v>
      </c>
      <c r="E24" s="13">
        <v>45.3</v>
      </c>
      <c r="F24" s="67"/>
      <c r="G24" s="95">
        <v>5368.05</v>
      </c>
      <c r="H24" s="69"/>
      <c r="I24" s="146">
        <f t="shared" si="0"/>
        <v>4.9400015800863846E-3</v>
      </c>
      <c r="J24" s="69"/>
      <c r="K24" s="69"/>
      <c r="L24" s="75"/>
    </row>
    <row r="25" spans="1:12" x14ac:dyDescent="0.25">
      <c r="A25" s="33" t="s">
        <v>710</v>
      </c>
      <c r="B25" s="10" t="s">
        <v>59</v>
      </c>
      <c r="C25" s="9" t="s">
        <v>20</v>
      </c>
      <c r="D25" s="164">
        <v>237</v>
      </c>
      <c r="E25" s="13">
        <v>106.17</v>
      </c>
      <c r="F25" s="67"/>
      <c r="G25" s="95">
        <v>25162.29</v>
      </c>
      <c r="H25" s="69"/>
      <c r="I25" s="146">
        <f t="shared" si="0"/>
        <v>2.3155848466126772E-2</v>
      </c>
      <c r="J25" s="69"/>
      <c r="K25" s="69"/>
      <c r="L25" s="75"/>
    </row>
    <row r="26" spans="1:12" ht="25.5" x14ac:dyDescent="0.25">
      <c r="A26" s="33" t="s">
        <v>711</v>
      </c>
      <c r="B26" s="10" t="s">
        <v>61</v>
      </c>
      <c r="C26" s="9" t="s">
        <v>26</v>
      </c>
      <c r="D26" s="164">
        <v>189.6</v>
      </c>
      <c r="E26" s="13">
        <v>56.85</v>
      </c>
      <c r="F26" s="67"/>
      <c r="G26" s="95">
        <v>10778.76</v>
      </c>
      <c r="H26" s="69"/>
      <c r="I26" s="146">
        <f t="shared" si="0"/>
        <v>9.9192614508754415E-3</v>
      </c>
      <c r="J26" s="69"/>
      <c r="K26" s="69"/>
      <c r="L26" s="75"/>
    </row>
    <row r="27" spans="1:12" x14ac:dyDescent="0.25">
      <c r="A27" s="33" t="s">
        <v>712</v>
      </c>
      <c r="B27" s="10" t="s">
        <v>63</v>
      </c>
      <c r="C27" s="9" t="s">
        <v>20</v>
      </c>
      <c r="D27" s="164">
        <v>189.6</v>
      </c>
      <c r="E27" s="13">
        <v>76.84</v>
      </c>
      <c r="F27" s="67"/>
      <c r="G27" s="95">
        <v>14568.86</v>
      </c>
      <c r="H27" s="69"/>
      <c r="I27" s="146">
        <f t="shared" si="0"/>
        <v>1.340713879715303E-2</v>
      </c>
      <c r="J27" s="69"/>
      <c r="K27" s="69"/>
      <c r="L27" s="75"/>
    </row>
    <row r="28" spans="1:12" x14ac:dyDescent="0.25">
      <c r="A28" s="33" t="s">
        <v>713</v>
      </c>
      <c r="B28" s="10" t="s">
        <v>65</v>
      </c>
      <c r="C28" s="9" t="s">
        <v>42</v>
      </c>
      <c r="D28" s="164">
        <v>2962.5</v>
      </c>
      <c r="E28" s="13">
        <v>11.15</v>
      </c>
      <c r="F28" s="67"/>
      <c r="G28" s="95">
        <v>33031.879999999997</v>
      </c>
      <c r="H28" s="69"/>
      <c r="I28" s="146">
        <f t="shared" si="0"/>
        <v>3.0397917193994806E-2</v>
      </c>
      <c r="J28" s="69"/>
      <c r="K28" s="69"/>
      <c r="L28" s="75"/>
    </row>
    <row r="29" spans="1:12" x14ac:dyDescent="0.25">
      <c r="A29" s="33" t="s">
        <v>714</v>
      </c>
      <c r="B29" s="10" t="s">
        <v>67</v>
      </c>
      <c r="C29" s="9" t="s">
        <v>26</v>
      </c>
      <c r="D29" s="164">
        <v>189.6</v>
      </c>
      <c r="E29" s="13">
        <v>734.02</v>
      </c>
      <c r="F29" s="67"/>
      <c r="G29" s="95">
        <v>139170.19</v>
      </c>
      <c r="H29" s="69"/>
      <c r="I29" s="146">
        <f t="shared" si="0"/>
        <v>0.12807275612204103</v>
      </c>
      <c r="J29" s="69"/>
      <c r="K29" s="69"/>
      <c r="L29" s="75"/>
    </row>
    <row r="30" spans="1:12" x14ac:dyDescent="0.25">
      <c r="A30" s="32" t="s">
        <v>715</v>
      </c>
      <c r="B30" s="8" t="s">
        <v>69</v>
      </c>
      <c r="C30" s="9"/>
      <c r="D30" s="164"/>
      <c r="E30" s="13"/>
      <c r="F30" s="67"/>
      <c r="G30" s="109"/>
      <c r="H30" s="143">
        <f>G31+G33</f>
        <v>7679.68</v>
      </c>
      <c r="I30" s="145">
        <f>H30/$K$5</f>
        <v>7.0673021552626752E-3</v>
      </c>
      <c r="J30" s="69"/>
      <c r="K30" s="69"/>
      <c r="L30" s="75"/>
    </row>
    <row r="31" spans="1:12" x14ac:dyDescent="0.25">
      <c r="A31" s="32" t="s">
        <v>716</v>
      </c>
      <c r="B31" s="8" t="s">
        <v>71</v>
      </c>
      <c r="C31" s="9"/>
      <c r="D31" s="164"/>
      <c r="E31" s="13"/>
      <c r="F31" s="67"/>
      <c r="G31" s="109">
        <v>5285.15</v>
      </c>
      <c r="H31" s="69"/>
      <c r="I31" s="146">
        <f>G31/$K$5</f>
        <v>4.8637120278301341E-3</v>
      </c>
      <c r="J31" s="69"/>
      <c r="K31" s="69"/>
      <c r="L31" s="75"/>
    </row>
    <row r="32" spans="1:12" x14ac:dyDescent="0.25">
      <c r="A32" s="33" t="s">
        <v>717</v>
      </c>
      <c r="B32" s="10" t="s">
        <v>73</v>
      </c>
      <c r="C32" s="9" t="s">
        <v>57</v>
      </c>
      <c r="D32" s="164">
        <v>173</v>
      </c>
      <c r="E32" s="13">
        <v>30.55</v>
      </c>
      <c r="F32" s="67"/>
      <c r="G32" s="95">
        <v>5285.15</v>
      </c>
      <c r="H32" s="69"/>
      <c r="I32" s="146">
        <f>G32/$K$5</f>
        <v>4.8637120278301341E-3</v>
      </c>
      <c r="J32" s="69"/>
      <c r="K32" s="69"/>
      <c r="L32" s="75"/>
    </row>
    <row r="33" spans="1:12" x14ac:dyDescent="0.25">
      <c r="A33" s="32" t="s">
        <v>718</v>
      </c>
      <c r="B33" s="8" t="s">
        <v>75</v>
      </c>
      <c r="C33" s="9"/>
      <c r="D33" s="164"/>
      <c r="E33" s="13"/>
      <c r="F33" s="67"/>
      <c r="G33" s="109">
        <v>2394.5300000000002</v>
      </c>
      <c r="H33" s="69"/>
      <c r="I33" s="146">
        <f>G33/$K$5</f>
        <v>2.2035901274325407E-3</v>
      </c>
      <c r="J33" s="69"/>
      <c r="K33" s="69"/>
      <c r="L33" s="75"/>
    </row>
    <row r="34" spans="1:12" ht="25.5" x14ac:dyDescent="0.25">
      <c r="A34" s="33" t="s">
        <v>719</v>
      </c>
      <c r="B34" s="10" t="s">
        <v>77</v>
      </c>
      <c r="C34" s="9" t="s">
        <v>26</v>
      </c>
      <c r="D34" s="164">
        <v>1.4</v>
      </c>
      <c r="E34" s="13">
        <v>1710.38</v>
      </c>
      <c r="F34" s="67"/>
      <c r="G34" s="95">
        <v>2394.5300000000002</v>
      </c>
      <c r="H34" s="69"/>
      <c r="I34" s="146">
        <f>G34/$K$5</f>
        <v>2.2035901274325407E-3</v>
      </c>
      <c r="J34" s="69"/>
      <c r="K34" s="69"/>
      <c r="L34" s="75"/>
    </row>
    <row r="35" spans="1:12" ht="13.5" thickBot="1" x14ac:dyDescent="0.3">
      <c r="A35" s="84"/>
      <c r="B35" s="85" t="s">
        <v>269</v>
      </c>
      <c r="C35" s="36"/>
      <c r="D35" s="168"/>
      <c r="E35" s="37"/>
      <c r="F35" s="77"/>
      <c r="G35" s="186"/>
      <c r="H35" s="203"/>
      <c r="I35" s="151"/>
      <c r="J35" s="203"/>
      <c r="K35" s="203"/>
      <c r="L35" s="79"/>
    </row>
    <row r="37" spans="1:12" s="7" customFormat="1" ht="15" x14ac:dyDescent="0.25">
      <c r="A37" s="11"/>
      <c r="B37" s="98" t="s">
        <v>271</v>
      </c>
      <c r="C37" s="9"/>
      <c r="D37" s="99"/>
      <c r="E37" s="95"/>
      <c r="G37" s="277">
        <f>K5</f>
        <v>1086649.45</v>
      </c>
      <c r="H37" s="277"/>
      <c r="I37" s="277"/>
      <c r="J37" s="277"/>
      <c r="K37" s="277"/>
      <c r="L37" s="163">
        <v>1</v>
      </c>
    </row>
    <row r="38" spans="1:12" s="7" customFormat="1" ht="15" x14ac:dyDescent="0.25">
      <c r="A38" s="18"/>
      <c r="B38" s="98" t="s">
        <v>272</v>
      </c>
      <c r="C38" s="18"/>
      <c r="D38" s="144"/>
      <c r="E38" s="132"/>
      <c r="G38" s="277">
        <v>0</v>
      </c>
      <c r="H38" s="277"/>
      <c r="I38" s="277"/>
      <c r="J38" s="277"/>
      <c r="K38" s="277"/>
      <c r="L38" s="163">
        <v>1</v>
      </c>
    </row>
    <row r="39" spans="1:12" s="7" customFormat="1" ht="15" x14ac:dyDescent="0.25">
      <c r="A39" s="18"/>
      <c r="B39" s="98" t="s">
        <v>270</v>
      </c>
      <c r="C39" s="18"/>
      <c r="D39" s="144"/>
      <c r="E39" s="132"/>
      <c r="G39" s="277">
        <f>G37+G38</f>
        <v>1086649.45</v>
      </c>
      <c r="H39" s="277"/>
      <c r="I39" s="277"/>
      <c r="J39" s="277"/>
      <c r="K39" s="277"/>
      <c r="L39" s="126"/>
    </row>
  </sheetData>
  <mergeCells count="5">
    <mergeCell ref="G3:L3"/>
    <mergeCell ref="G4:H4"/>
    <mergeCell ref="G37:K37"/>
    <mergeCell ref="G38:K38"/>
    <mergeCell ref="G39:K39"/>
  </mergeCells>
  <pageMargins left="0.511811024" right="0.511811024" top="0.78740157499999996" bottom="0.78740157499999996" header="0.31496062000000002" footer="0.31496062000000002"/>
  <pageSetup paperSize="8" scale="79" fitToHeight="0" orientation="landscape" horizontalDpi="1200" verticalDpi="1200" r:id="rId1"/>
  <ignoredErrors>
    <ignoredError sqref="I12 I30"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256E2-3A6F-4FAF-8954-6FDE90ABDF96}">
  <sheetPr>
    <pageSetUpPr fitToPage="1"/>
  </sheetPr>
  <dimension ref="A1:L173"/>
  <sheetViews>
    <sheetView workbookViewId="0">
      <pane ySplit="4" topLeftCell="A5" activePane="bottomLeft" state="frozen"/>
      <selection pane="bottomLeft" activeCell="A5" sqref="A5"/>
    </sheetView>
  </sheetViews>
  <sheetFormatPr defaultColWidth="9.140625" defaultRowHeight="12.75" x14ac:dyDescent="0.25"/>
  <cols>
    <col min="1" max="1" width="18.7109375" style="63" customWidth="1"/>
    <col min="2" max="2" width="138.28515625" style="41" customWidth="1"/>
    <col min="3" max="3" width="6.7109375" style="42" customWidth="1"/>
    <col min="4" max="4" width="16" style="43" customWidth="1"/>
    <col min="5" max="5" width="16.7109375" style="61" customWidth="1"/>
    <col min="6" max="6" width="1" style="62" customWidth="1"/>
    <col min="7" max="7" width="16.5703125" style="103" bestFit="1" customWidth="1"/>
    <col min="8" max="8" width="15.5703125" style="62" bestFit="1" customWidth="1"/>
    <col min="9" max="9" width="16.42578125" style="42" customWidth="1"/>
    <col min="10" max="10" width="1.140625" style="62" customWidth="1"/>
    <col min="11" max="11" width="15.5703125" style="62" bestFit="1" customWidth="1"/>
    <col min="12" max="12" width="9.140625" style="42"/>
    <col min="13" max="16384" width="9.140625" style="62"/>
  </cols>
  <sheetData>
    <row r="1" spans="1:12" x14ac:dyDescent="0.25">
      <c r="A1" s="59" t="s">
        <v>4</v>
      </c>
    </row>
    <row r="3" spans="1:12" x14ac:dyDescent="0.25">
      <c r="A3" s="59" t="s">
        <v>767</v>
      </c>
      <c r="G3" s="294" t="s">
        <v>11</v>
      </c>
      <c r="H3" s="294"/>
      <c r="I3" s="294"/>
      <c r="J3" s="294"/>
      <c r="K3" s="294"/>
      <c r="L3" s="294"/>
    </row>
    <row r="4" spans="1:12" ht="13.5" thickBot="1" x14ac:dyDescent="0.3">
      <c r="A4" s="46" t="s">
        <v>6</v>
      </c>
      <c r="B4" s="47" t="s">
        <v>7</v>
      </c>
      <c r="C4" s="46" t="s">
        <v>8</v>
      </c>
      <c r="D4" s="48" t="s">
        <v>9</v>
      </c>
      <c r="E4" s="178" t="s">
        <v>10</v>
      </c>
      <c r="G4" s="295" t="s">
        <v>273</v>
      </c>
      <c r="H4" s="296"/>
      <c r="I4" s="104" t="s">
        <v>275</v>
      </c>
      <c r="J4" s="141"/>
      <c r="K4" s="93" t="s">
        <v>274</v>
      </c>
      <c r="L4" s="104" t="s">
        <v>12</v>
      </c>
    </row>
    <row r="5" spans="1:12" x14ac:dyDescent="0.25">
      <c r="A5" s="25">
        <v>1</v>
      </c>
      <c r="B5" s="26" t="s">
        <v>396</v>
      </c>
      <c r="C5" s="27"/>
      <c r="D5" s="211"/>
      <c r="E5" s="29"/>
      <c r="F5" s="156"/>
      <c r="G5" s="105"/>
      <c r="H5" s="204"/>
      <c r="I5" s="193"/>
      <c r="J5" s="204"/>
      <c r="K5" s="73">
        <f>SUM(H5:H41)</f>
        <v>2062102.6972500002</v>
      </c>
      <c r="L5" s="160">
        <f>K5/$G$166</f>
        <v>0.70758325676368194</v>
      </c>
    </row>
    <row r="6" spans="1:12" x14ac:dyDescent="0.25">
      <c r="A6" s="32" t="s">
        <v>14</v>
      </c>
      <c r="B6" s="8" t="s">
        <v>15</v>
      </c>
      <c r="C6" s="9"/>
      <c r="D6" s="209"/>
      <c r="E6" s="13"/>
      <c r="G6" s="109"/>
      <c r="H6" s="143">
        <f>G7+G12</f>
        <v>65846.197249999997</v>
      </c>
      <c r="I6" s="145">
        <f>H6/$K$5</f>
        <v>3.1931580002204467E-2</v>
      </c>
      <c r="J6" s="69"/>
      <c r="K6" s="68"/>
      <c r="L6" s="194"/>
    </row>
    <row r="7" spans="1:12" x14ac:dyDescent="0.25">
      <c r="A7" s="32" t="s">
        <v>16</v>
      </c>
      <c r="B7" s="8" t="s">
        <v>17</v>
      </c>
      <c r="C7" s="9"/>
      <c r="D7" s="209"/>
      <c r="E7" s="13"/>
      <c r="G7" s="109">
        <f>SUM(G8:G11)</f>
        <v>60042.345249999991</v>
      </c>
      <c r="H7" s="69"/>
      <c r="I7" s="146">
        <f>G7/$K$5</f>
        <v>2.9117048986004368E-2</v>
      </c>
      <c r="J7" s="69"/>
      <c r="K7" s="68"/>
      <c r="L7" s="194"/>
    </row>
    <row r="8" spans="1:12" x14ac:dyDescent="0.25">
      <c r="A8" s="33" t="s">
        <v>18</v>
      </c>
      <c r="B8" s="10" t="s">
        <v>19</v>
      </c>
      <c r="C8" s="9" t="s">
        <v>20</v>
      </c>
      <c r="D8" s="209">
        <v>1870</v>
      </c>
      <c r="E8" s="13">
        <v>4.38</v>
      </c>
      <c r="G8" s="95">
        <f>D8*E8</f>
        <v>8190.5999999999995</v>
      </c>
      <c r="H8" s="69"/>
      <c r="I8" s="146">
        <f t="shared" ref="I8:I18" si="0">G8/$K$5</f>
        <v>3.9719651261418271E-3</v>
      </c>
      <c r="J8" s="69"/>
      <c r="K8" s="68"/>
      <c r="L8" s="194"/>
    </row>
    <row r="9" spans="1:12" x14ac:dyDescent="0.25">
      <c r="A9" s="33" t="s">
        <v>21</v>
      </c>
      <c r="B9" s="10" t="s">
        <v>22</v>
      </c>
      <c r="C9" s="9" t="s">
        <v>23</v>
      </c>
      <c r="D9" s="209">
        <v>80</v>
      </c>
      <c r="E9" s="13">
        <v>217.25</v>
      </c>
      <c r="G9" s="95">
        <f t="shared" ref="G9:G11" si="1">D9*E9</f>
        <v>17380</v>
      </c>
      <c r="H9" s="69"/>
      <c r="I9" s="146">
        <f t="shared" si="0"/>
        <v>8.4282902220038786E-3</v>
      </c>
      <c r="J9" s="69"/>
      <c r="K9" s="68"/>
      <c r="L9" s="194"/>
    </row>
    <row r="10" spans="1:12" x14ac:dyDescent="0.25">
      <c r="A10" s="33" t="s">
        <v>24</v>
      </c>
      <c r="B10" s="10" t="s">
        <v>25</v>
      </c>
      <c r="C10" s="9" t="s">
        <v>26</v>
      </c>
      <c r="D10" s="209">
        <v>620</v>
      </c>
      <c r="E10" s="13">
        <v>17.54</v>
      </c>
      <c r="G10" s="95">
        <f t="shared" si="1"/>
        <v>10874.8</v>
      </c>
      <c r="H10" s="69"/>
      <c r="I10" s="146">
        <f t="shared" si="0"/>
        <v>5.2736461741224264E-3</v>
      </c>
      <c r="J10" s="69"/>
      <c r="K10" s="68"/>
      <c r="L10" s="194"/>
    </row>
    <row r="11" spans="1:12" x14ac:dyDescent="0.25">
      <c r="A11" s="33" t="s">
        <v>27</v>
      </c>
      <c r="B11" s="10" t="s">
        <v>28</v>
      </c>
      <c r="C11" s="9" t="s">
        <v>29</v>
      </c>
      <c r="D11" s="209">
        <v>11510.705</v>
      </c>
      <c r="E11" s="13">
        <v>2.0499999999999998</v>
      </c>
      <c r="G11" s="95">
        <f t="shared" si="1"/>
        <v>23596.945249999997</v>
      </c>
      <c r="H11" s="69"/>
      <c r="I11" s="146">
        <f t="shared" si="0"/>
        <v>1.1443147463736239E-2</v>
      </c>
      <c r="J11" s="69"/>
      <c r="K11" s="68"/>
      <c r="L11" s="194"/>
    </row>
    <row r="12" spans="1:12" x14ac:dyDescent="0.25">
      <c r="A12" s="32" t="s">
        <v>397</v>
      </c>
      <c r="B12" s="8" t="s">
        <v>279</v>
      </c>
      <c r="C12" s="9"/>
      <c r="D12" s="209"/>
      <c r="E12" s="13"/>
      <c r="G12" s="109">
        <f>SUM(G13:G18)</f>
        <v>5803.8519999999999</v>
      </c>
      <c r="H12" s="69"/>
      <c r="I12" s="146">
        <f t="shared" si="0"/>
        <v>2.814531016200095E-3</v>
      </c>
      <c r="J12" s="69"/>
      <c r="K12" s="68"/>
      <c r="L12" s="194"/>
    </row>
    <row r="13" spans="1:12" x14ac:dyDescent="0.25">
      <c r="A13" s="33" t="s">
        <v>398</v>
      </c>
      <c r="B13" s="10" t="s">
        <v>281</v>
      </c>
      <c r="C13" s="9" t="s">
        <v>26</v>
      </c>
      <c r="D13" s="209">
        <v>36</v>
      </c>
      <c r="E13" s="13">
        <v>54.08</v>
      </c>
      <c r="G13" s="95">
        <f>D13*E13</f>
        <v>1946.8799999999999</v>
      </c>
      <c r="H13" s="69"/>
      <c r="I13" s="146">
        <f t="shared" si="0"/>
        <v>9.4412368627243433E-4</v>
      </c>
      <c r="J13" s="69"/>
      <c r="K13" s="68"/>
      <c r="L13" s="194"/>
    </row>
    <row r="14" spans="1:12" x14ac:dyDescent="0.25">
      <c r="A14" s="33" t="s">
        <v>399</v>
      </c>
      <c r="B14" s="10" t="s">
        <v>283</v>
      </c>
      <c r="C14" s="9" t="s">
        <v>26</v>
      </c>
      <c r="D14" s="209">
        <v>9</v>
      </c>
      <c r="E14" s="13">
        <v>78.37</v>
      </c>
      <c r="G14" s="95">
        <f t="shared" ref="G14:G18" si="2">D14*E14</f>
        <v>705.33</v>
      </c>
      <c r="H14" s="69"/>
      <c r="I14" s="146">
        <f t="shared" si="0"/>
        <v>3.4204407032715741E-4</v>
      </c>
      <c r="J14" s="69"/>
      <c r="K14" s="68"/>
      <c r="L14" s="194"/>
    </row>
    <row r="15" spans="1:12" x14ac:dyDescent="0.25">
      <c r="A15" s="33" t="s">
        <v>400</v>
      </c>
      <c r="B15" s="10" t="s">
        <v>285</v>
      </c>
      <c r="C15" s="9" t="s">
        <v>26</v>
      </c>
      <c r="D15" s="209">
        <v>3.15</v>
      </c>
      <c r="E15" s="13">
        <v>168.28</v>
      </c>
      <c r="G15" s="95">
        <f t="shared" si="2"/>
        <v>530.08199999999999</v>
      </c>
      <c r="H15" s="69"/>
      <c r="I15" s="146">
        <f t="shared" si="0"/>
        <v>2.570589722359183E-4</v>
      </c>
      <c r="J15" s="69"/>
      <c r="K15" s="68"/>
      <c r="L15" s="194"/>
    </row>
    <row r="16" spans="1:12" x14ac:dyDescent="0.25">
      <c r="A16" s="33" t="s">
        <v>401</v>
      </c>
      <c r="B16" s="10" t="s">
        <v>287</v>
      </c>
      <c r="C16" s="9" t="s">
        <v>20</v>
      </c>
      <c r="D16" s="209">
        <v>48</v>
      </c>
      <c r="E16" s="13">
        <v>6.36</v>
      </c>
      <c r="G16" s="95">
        <f t="shared" si="2"/>
        <v>305.28000000000003</v>
      </c>
      <c r="H16" s="69"/>
      <c r="I16" s="146">
        <f t="shared" si="0"/>
        <v>1.4804306323206815E-4</v>
      </c>
      <c r="J16" s="69"/>
      <c r="K16" s="68"/>
      <c r="L16" s="194"/>
    </row>
    <row r="17" spans="1:12" x14ac:dyDescent="0.25">
      <c r="A17" s="33" t="s">
        <v>402</v>
      </c>
      <c r="B17" s="10" t="s">
        <v>25</v>
      </c>
      <c r="C17" s="9" t="s">
        <v>26</v>
      </c>
      <c r="D17" s="209">
        <v>48</v>
      </c>
      <c r="E17" s="13">
        <v>17.54</v>
      </c>
      <c r="G17" s="95">
        <f t="shared" si="2"/>
        <v>841.92</v>
      </c>
      <c r="H17" s="69"/>
      <c r="I17" s="146">
        <f t="shared" si="0"/>
        <v>4.0828228444818787E-4</v>
      </c>
      <c r="J17" s="69"/>
      <c r="K17" s="68"/>
      <c r="L17" s="194"/>
    </row>
    <row r="18" spans="1:12" x14ac:dyDescent="0.25">
      <c r="A18" s="33" t="s">
        <v>403</v>
      </c>
      <c r="B18" s="10" t="s">
        <v>28</v>
      </c>
      <c r="C18" s="9" t="s">
        <v>29</v>
      </c>
      <c r="D18" s="209">
        <v>719.2</v>
      </c>
      <c r="E18" s="13">
        <v>2.0499999999999998</v>
      </c>
      <c r="G18" s="95">
        <f t="shared" si="2"/>
        <v>1474.36</v>
      </c>
      <c r="H18" s="69"/>
      <c r="I18" s="146">
        <f t="shared" si="0"/>
        <v>7.1497893968432895E-4</v>
      </c>
      <c r="J18" s="69"/>
      <c r="K18" s="68"/>
      <c r="L18" s="194"/>
    </row>
    <row r="19" spans="1:12" x14ac:dyDescent="0.25">
      <c r="A19" s="32" t="s">
        <v>30</v>
      </c>
      <c r="B19" s="8" t="s">
        <v>31</v>
      </c>
      <c r="C19" s="9"/>
      <c r="D19" s="209"/>
      <c r="E19" s="13"/>
      <c r="G19" s="109"/>
      <c r="H19" s="143">
        <f>G20+G22</f>
        <v>1987122.6800000002</v>
      </c>
      <c r="I19" s="145">
        <f t="shared" ref="I19:I37" si="3">H19/$K$5</f>
        <v>0.96363904797273547</v>
      </c>
      <c r="J19" s="69"/>
      <c r="K19" s="68"/>
      <c r="L19" s="194"/>
    </row>
    <row r="20" spans="1:12" x14ac:dyDescent="0.25">
      <c r="A20" s="32" t="s">
        <v>32</v>
      </c>
      <c r="B20" s="8" t="s">
        <v>33</v>
      </c>
      <c r="C20" s="9"/>
      <c r="D20" s="209"/>
      <c r="E20" s="13"/>
      <c r="G20" s="109">
        <v>1236231.3600000001</v>
      </c>
      <c r="H20" s="69"/>
      <c r="I20" s="146">
        <f>G20/$K$5</f>
        <v>0.59950038455825994</v>
      </c>
      <c r="J20" s="69"/>
      <c r="K20" s="68"/>
      <c r="L20" s="194"/>
    </row>
    <row r="21" spans="1:12" ht="25.5" x14ac:dyDescent="0.25">
      <c r="A21" s="33" t="s">
        <v>34</v>
      </c>
      <c r="B21" s="10" t="s">
        <v>35</v>
      </c>
      <c r="C21" s="9" t="s">
        <v>20</v>
      </c>
      <c r="D21" s="209">
        <v>1638</v>
      </c>
      <c r="E21" s="13">
        <v>754.72</v>
      </c>
      <c r="G21" s="95">
        <v>1236231.3600000001</v>
      </c>
      <c r="H21" s="69"/>
      <c r="I21" s="146">
        <f t="shared" ref="I21:I36" si="4">G21/$K$5</f>
        <v>0.59950038455825994</v>
      </c>
      <c r="J21" s="69"/>
      <c r="K21" s="68"/>
      <c r="L21" s="194"/>
    </row>
    <row r="22" spans="1:12" x14ac:dyDescent="0.25">
      <c r="A22" s="32" t="s">
        <v>36</v>
      </c>
      <c r="B22" s="8" t="s">
        <v>37</v>
      </c>
      <c r="C22" s="9"/>
      <c r="D22" s="209"/>
      <c r="E22" s="13"/>
      <c r="G22" s="109">
        <f>SUM(G23:G36)</f>
        <v>750891.32</v>
      </c>
      <c r="H22" s="69"/>
      <c r="I22" s="146">
        <f t="shared" si="4"/>
        <v>0.36413866341447554</v>
      </c>
      <c r="J22" s="69"/>
      <c r="K22" s="68"/>
      <c r="L22" s="194"/>
    </row>
    <row r="23" spans="1:12" x14ac:dyDescent="0.25">
      <c r="A23" s="33" t="s">
        <v>38</v>
      </c>
      <c r="B23" s="10" t="s">
        <v>39</v>
      </c>
      <c r="C23" s="9" t="s">
        <v>26</v>
      </c>
      <c r="D23" s="209">
        <v>135.6</v>
      </c>
      <c r="E23" s="13">
        <v>641.26</v>
      </c>
      <c r="G23" s="95">
        <v>86954.86</v>
      </c>
      <c r="H23" s="69"/>
      <c r="I23" s="146">
        <f t="shared" si="4"/>
        <v>4.2168055022653403E-2</v>
      </c>
      <c r="J23" s="69"/>
      <c r="K23" s="68"/>
      <c r="L23" s="194"/>
    </row>
    <row r="24" spans="1:12" x14ac:dyDescent="0.25">
      <c r="A24" s="33" t="s">
        <v>40</v>
      </c>
      <c r="B24" s="10" t="s">
        <v>41</v>
      </c>
      <c r="C24" s="9" t="s">
        <v>42</v>
      </c>
      <c r="D24" s="209">
        <v>3390</v>
      </c>
      <c r="E24" s="13">
        <v>8.64</v>
      </c>
      <c r="G24" s="95">
        <v>29289.599999999999</v>
      </c>
      <c r="H24" s="69"/>
      <c r="I24" s="146">
        <f t="shared" si="4"/>
        <v>1.4203754274246534E-2</v>
      </c>
      <c r="J24" s="69"/>
      <c r="K24" s="68"/>
      <c r="L24" s="194"/>
    </row>
    <row r="25" spans="1:12" x14ac:dyDescent="0.25">
      <c r="A25" s="33" t="s">
        <v>43</v>
      </c>
      <c r="B25" s="10" t="s">
        <v>44</v>
      </c>
      <c r="C25" s="9" t="s">
        <v>42</v>
      </c>
      <c r="D25" s="209">
        <v>6102</v>
      </c>
      <c r="E25" s="13">
        <v>9.66</v>
      </c>
      <c r="G25" s="95">
        <v>58945.32</v>
      </c>
      <c r="H25" s="69"/>
      <c r="I25" s="146">
        <f t="shared" si="4"/>
        <v>2.8585055476921153E-2</v>
      </c>
      <c r="J25" s="69"/>
      <c r="K25" s="68"/>
      <c r="L25" s="194"/>
    </row>
    <row r="26" spans="1:12" x14ac:dyDescent="0.25">
      <c r="A26" s="33" t="s">
        <v>45</v>
      </c>
      <c r="B26" s="10" t="s">
        <v>46</v>
      </c>
      <c r="C26" s="9" t="s">
        <v>42</v>
      </c>
      <c r="D26" s="209">
        <v>6102</v>
      </c>
      <c r="E26" s="13">
        <v>8.84</v>
      </c>
      <c r="G26" s="95">
        <v>53941.68</v>
      </c>
      <c r="H26" s="69"/>
      <c r="I26" s="146">
        <f t="shared" si="4"/>
        <v>2.6158580788404037E-2</v>
      </c>
      <c r="J26" s="69"/>
      <c r="K26" s="68"/>
      <c r="L26" s="194"/>
    </row>
    <row r="27" spans="1:12" x14ac:dyDescent="0.25">
      <c r="A27" s="33" t="s">
        <v>47</v>
      </c>
      <c r="B27" s="10" t="s">
        <v>48</v>
      </c>
      <c r="C27" s="9" t="s">
        <v>26</v>
      </c>
      <c r="D27" s="209">
        <v>271.2</v>
      </c>
      <c r="E27" s="13">
        <v>25.13</v>
      </c>
      <c r="G27" s="95">
        <v>6815.26</v>
      </c>
      <c r="H27" s="69"/>
      <c r="I27" s="146">
        <f t="shared" si="4"/>
        <v>3.3050051333955209E-3</v>
      </c>
      <c r="J27" s="69"/>
      <c r="K27" s="68"/>
      <c r="L27" s="194"/>
    </row>
    <row r="28" spans="1:12" x14ac:dyDescent="0.25">
      <c r="A28" s="33" t="s">
        <v>49</v>
      </c>
      <c r="B28" s="10" t="s">
        <v>50</v>
      </c>
      <c r="C28" s="9" t="s">
        <v>26</v>
      </c>
      <c r="D28" s="209">
        <v>6.78</v>
      </c>
      <c r="E28" s="13">
        <v>900.01</v>
      </c>
      <c r="G28" s="95">
        <v>6102.07</v>
      </c>
      <c r="H28" s="69"/>
      <c r="I28" s="146">
        <f t="shared" si="4"/>
        <v>2.9591494197343613E-3</v>
      </c>
      <c r="J28" s="69"/>
      <c r="K28" s="68"/>
      <c r="L28" s="194"/>
    </row>
    <row r="29" spans="1:12" x14ac:dyDescent="0.25">
      <c r="A29" s="33" t="s">
        <v>51</v>
      </c>
      <c r="B29" s="10" t="s">
        <v>52</v>
      </c>
      <c r="C29" s="9" t="s">
        <v>26</v>
      </c>
      <c r="D29" s="209">
        <v>6.78</v>
      </c>
      <c r="E29" s="13">
        <v>1002.12</v>
      </c>
      <c r="G29" s="95">
        <v>6794.37</v>
      </c>
      <c r="H29" s="69"/>
      <c r="I29" s="146">
        <f t="shared" si="4"/>
        <v>3.2948746971045162E-3</v>
      </c>
      <c r="J29" s="69"/>
      <c r="K29" s="68"/>
      <c r="L29" s="194"/>
    </row>
    <row r="30" spans="1:12" x14ac:dyDescent="0.25">
      <c r="A30" s="33" t="s">
        <v>53</v>
      </c>
      <c r="B30" s="10" t="s">
        <v>54</v>
      </c>
      <c r="C30" s="9" t="s">
        <v>26</v>
      </c>
      <c r="D30" s="209">
        <v>169.5</v>
      </c>
      <c r="E30" s="13">
        <v>1037.21</v>
      </c>
      <c r="G30" s="95">
        <v>175807.1</v>
      </c>
      <c r="H30" s="69"/>
      <c r="I30" s="146">
        <f t="shared" si="4"/>
        <v>8.5256229107529238E-2</v>
      </c>
      <c r="J30" s="69"/>
      <c r="K30" s="68"/>
      <c r="L30" s="194"/>
    </row>
    <row r="31" spans="1:12" x14ac:dyDescent="0.25">
      <c r="A31" s="33" t="s">
        <v>55</v>
      </c>
      <c r="B31" s="10" t="s">
        <v>56</v>
      </c>
      <c r="C31" s="9" t="s">
        <v>57</v>
      </c>
      <c r="D31" s="209">
        <v>169.5</v>
      </c>
      <c r="E31" s="13">
        <v>45.3</v>
      </c>
      <c r="G31" s="95">
        <v>7678.35</v>
      </c>
      <c r="H31" s="69"/>
      <c r="I31" s="146">
        <f t="shared" si="4"/>
        <v>3.7235536378667135E-3</v>
      </c>
      <c r="J31" s="69"/>
      <c r="K31" s="68"/>
      <c r="L31" s="194"/>
    </row>
    <row r="32" spans="1:12" x14ac:dyDescent="0.25">
      <c r="A32" s="33" t="s">
        <v>58</v>
      </c>
      <c r="B32" s="10" t="s">
        <v>59</v>
      </c>
      <c r="C32" s="9" t="s">
        <v>20</v>
      </c>
      <c r="D32" s="209">
        <v>339</v>
      </c>
      <c r="E32" s="13">
        <v>106.17</v>
      </c>
      <c r="G32" s="95">
        <v>35991.629999999997</v>
      </c>
      <c r="H32" s="69"/>
      <c r="I32" s="146">
        <f t="shared" si="4"/>
        <v>1.7453849436305031E-2</v>
      </c>
      <c r="J32" s="69"/>
      <c r="K32" s="68"/>
      <c r="L32" s="194"/>
    </row>
    <row r="33" spans="1:12" x14ac:dyDescent="0.25">
      <c r="A33" s="33" t="s">
        <v>60</v>
      </c>
      <c r="B33" s="10" t="s">
        <v>61</v>
      </c>
      <c r="C33" s="9" t="s">
        <v>26</v>
      </c>
      <c r="D33" s="209">
        <v>271.2</v>
      </c>
      <c r="E33" s="13">
        <v>56.85</v>
      </c>
      <c r="G33" s="95">
        <v>15417.72</v>
      </c>
      <c r="H33" s="69"/>
      <c r="I33" s="146">
        <f t="shared" si="4"/>
        <v>7.4766984304714401E-3</v>
      </c>
      <c r="J33" s="69"/>
      <c r="K33" s="68"/>
      <c r="L33" s="194"/>
    </row>
    <row r="34" spans="1:12" x14ac:dyDescent="0.25">
      <c r="A34" s="33" t="s">
        <v>62</v>
      </c>
      <c r="B34" s="10" t="s">
        <v>63</v>
      </c>
      <c r="C34" s="9" t="s">
        <v>20</v>
      </c>
      <c r="D34" s="209">
        <v>271.2</v>
      </c>
      <c r="E34" s="13">
        <v>76.84</v>
      </c>
      <c r="G34" s="95">
        <v>20839.009999999998</v>
      </c>
      <c r="H34" s="69"/>
      <c r="I34" s="146">
        <f t="shared" si="4"/>
        <v>1.0105709103523649E-2</v>
      </c>
      <c r="J34" s="69"/>
      <c r="K34" s="68"/>
      <c r="L34" s="194"/>
    </row>
    <row r="35" spans="1:12" x14ac:dyDescent="0.25">
      <c r="A35" s="33" t="s">
        <v>64</v>
      </c>
      <c r="B35" s="10" t="s">
        <v>65</v>
      </c>
      <c r="C35" s="9" t="s">
        <v>42</v>
      </c>
      <c r="D35" s="209">
        <v>4237.5</v>
      </c>
      <c r="E35" s="13">
        <v>11.15</v>
      </c>
      <c r="G35" s="95">
        <v>47248.13</v>
      </c>
      <c r="H35" s="69"/>
      <c r="I35" s="146">
        <f t="shared" si="4"/>
        <v>2.291259793365754E-2</v>
      </c>
      <c r="J35" s="69"/>
      <c r="K35" s="68"/>
      <c r="L35" s="194"/>
    </row>
    <row r="36" spans="1:12" x14ac:dyDescent="0.25">
      <c r="A36" s="33" t="s">
        <v>66</v>
      </c>
      <c r="B36" s="10" t="s">
        <v>67</v>
      </c>
      <c r="C36" s="9" t="s">
        <v>26</v>
      </c>
      <c r="D36" s="209">
        <v>271.2</v>
      </c>
      <c r="E36" s="13">
        <v>734.02</v>
      </c>
      <c r="G36" s="95">
        <v>199066.22</v>
      </c>
      <c r="H36" s="69"/>
      <c r="I36" s="146">
        <f t="shared" si="4"/>
        <v>9.6535550952662419E-2</v>
      </c>
      <c r="J36" s="69"/>
      <c r="K36" s="68"/>
      <c r="L36" s="194"/>
    </row>
    <row r="37" spans="1:12" x14ac:dyDescent="0.25">
      <c r="A37" s="32" t="s">
        <v>68</v>
      </c>
      <c r="B37" s="8" t="s">
        <v>69</v>
      </c>
      <c r="C37" s="9"/>
      <c r="D37" s="209"/>
      <c r="E37" s="13"/>
      <c r="G37" s="109"/>
      <c r="H37" s="143">
        <f>G38+G40</f>
        <v>9133.82</v>
      </c>
      <c r="I37" s="145">
        <f t="shared" si="3"/>
        <v>4.4293720250600382E-3</v>
      </c>
      <c r="J37" s="69"/>
      <c r="K37" s="68"/>
      <c r="L37" s="194"/>
    </row>
    <row r="38" spans="1:12" x14ac:dyDescent="0.25">
      <c r="A38" s="32" t="s">
        <v>70</v>
      </c>
      <c r="B38" s="8" t="s">
        <v>71</v>
      </c>
      <c r="C38" s="9"/>
      <c r="D38" s="209"/>
      <c r="E38" s="13"/>
      <c r="G38" s="109">
        <v>6568.25</v>
      </c>
      <c r="H38" s="69"/>
      <c r="I38" s="146">
        <f>G38/$K$5</f>
        <v>3.1852196346764654E-3</v>
      </c>
      <c r="J38" s="69"/>
      <c r="K38" s="68"/>
      <c r="L38" s="194"/>
    </row>
    <row r="39" spans="1:12" x14ac:dyDescent="0.25">
      <c r="A39" s="33" t="s">
        <v>72</v>
      </c>
      <c r="B39" s="10" t="s">
        <v>73</v>
      </c>
      <c r="C39" s="9" t="s">
        <v>57</v>
      </c>
      <c r="D39" s="209">
        <v>215</v>
      </c>
      <c r="E39" s="13">
        <v>30.55</v>
      </c>
      <c r="G39" s="95">
        <v>6568.25</v>
      </c>
      <c r="H39" s="69"/>
      <c r="I39" s="146">
        <f t="shared" ref="I39:I41" si="5">G39/$K$5</f>
        <v>3.1852196346764654E-3</v>
      </c>
      <c r="J39" s="69"/>
      <c r="K39" s="68"/>
      <c r="L39" s="194"/>
    </row>
    <row r="40" spans="1:12" x14ac:dyDescent="0.25">
      <c r="A40" s="32" t="s">
        <v>74</v>
      </c>
      <c r="B40" s="8" t="s">
        <v>75</v>
      </c>
      <c r="C40" s="9"/>
      <c r="D40" s="209"/>
      <c r="E40" s="13"/>
      <c r="G40" s="109">
        <v>2565.5700000000002</v>
      </c>
      <c r="H40" s="69"/>
      <c r="I40" s="146">
        <f t="shared" si="5"/>
        <v>1.2441523903835726E-3</v>
      </c>
      <c r="J40" s="69"/>
      <c r="K40" s="68"/>
      <c r="L40" s="194"/>
    </row>
    <row r="41" spans="1:12" ht="25.5" x14ac:dyDescent="0.25">
      <c r="A41" s="33" t="s">
        <v>76</v>
      </c>
      <c r="B41" s="10" t="s">
        <v>77</v>
      </c>
      <c r="C41" s="9" t="s">
        <v>26</v>
      </c>
      <c r="D41" s="209">
        <v>1.5</v>
      </c>
      <c r="E41" s="13">
        <v>1710.38</v>
      </c>
      <c r="G41" s="95">
        <v>2565.5700000000002</v>
      </c>
      <c r="H41" s="69"/>
      <c r="I41" s="146">
        <f t="shared" si="5"/>
        <v>1.2441523903835726E-3</v>
      </c>
      <c r="J41" s="69"/>
      <c r="K41" s="68"/>
      <c r="L41" s="194"/>
    </row>
    <row r="42" spans="1:12" x14ac:dyDescent="0.25">
      <c r="A42" s="33"/>
      <c r="B42" s="10"/>
      <c r="C42" s="9"/>
      <c r="D42" s="209"/>
      <c r="E42" s="13"/>
      <c r="G42" s="95"/>
      <c r="H42" s="69"/>
      <c r="I42" s="152"/>
      <c r="J42" s="69"/>
      <c r="K42" s="68"/>
      <c r="L42" s="194"/>
    </row>
    <row r="43" spans="1:12" x14ac:dyDescent="0.25">
      <c r="A43" s="32">
        <v>2</v>
      </c>
      <c r="B43" s="8" t="s">
        <v>290</v>
      </c>
      <c r="C43" s="9"/>
      <c r="D43" s="209"/>
      <c r="E43" s="13"/>
      <c r="G43" s="109"/>
      <c r="H43" s="69"/>
      <c r="I43" s="152"/>
      <c r="J43" s="69"/>
      <c r="K43" s="68">
        <f>SUM(H44:H79)</f>
        <v>314583.49603799998</v>
      </c>
      <c r="L43" s="169">
        <f>K43/$G$166</f>
        <v>0.1079451643933748</v>
      </c>
    </row>
    <row r="44" spans="1:12" x14ac:dyDescent="0.25">
      <c r="A44" s="32" t="s">
        <v>79</v>
      </c>
      <c r="B44" s="8" t="s">
        <v>15</v>
      </c>
      <c r="C44" s="9"/>
      <c r="D44" s="209"/>
      <c r="E44" s="13"/>
      <c r="G44" s="109"/>
      <c r="H44" s="143">
        <f>G45+G50</f>
        <v>26378.276038</v>
      </c>
      <c r="I44" s="145">
        <f>H44/$K$43</f>
        <v>8.3851430129740973E-2</v>
      </c>
      <c r="J44" s="69"/>
      <c r="K44" s="68"/>
      <c r="L44" s="194"/>
    </row>
    <row r="45" spans="1:12" x14ac:dyDescent="0.25">
      <c r="A45" s="32" t="s">
        <v>80</v>
      </c>
      <c r="B45" s="8" t="s">
        <v>17</v>
      </c>
      <c r="C45" s="9"/>
      <c r="D45" s="209"/>
      <c r="E45" s="13"/>
      <c r="G45" s="109">
        <f>SUM(G46:G49)</f>
        <v>14992.8</v>
      </c>
      <c r="H45" s="69"/>
      <c r="I45" s="146">
        <f>G45/$K$43</f>
        <v>4.7659207138409293E-2</v>
      </c>
      <c r="J45" s="69"/>
      <c r="K45" s="68"/>
      <c r="L45" s="194"/>
    </row>
    <row r="46" spans="1:12" x14ac:dyDescent="0.25">
      <c r="A46" s="33" t="s">
        <v>81</v>
      </c>
      <c r="B46" s="10" t="s">
        <v>19</v>
      </c>
      <c r="C46" s="9" t="s">
        <v>20</v>
      </c>
      <c r="D46" s="209">
        <v>460</v>
      </c>
      <c r="E46" s="13">
        <v>4.38</v>
      </c>
      <c r="G46" s="95">
        <f>D46*E46</f>
        <v>2014.8</v>
      </c>
      <c r="H46" s="69"/>
      <c r="I46" s="146">
        <f t="shared" ref="I46:I56" si="6">G46/$K$43</f>
        <v>6.4046589391219145E-3</v>
      </c>
      <c r="J46" s="69"/>
      <c r="K46" s="68"/>
      <c r="L46" s="194"/>
    </row>
    <row r="47" spans="1:12" x14ac:dyDescent="0.25">
      <c r="A47" s="33" t="s">
        <v>82</v>
      </c>
      <c r="B47" s="10" t="s">
        <v>22</v>
      </c>
      <c r="C47" s="9" t="s">
        <v>23</v>
      </c>
      <c r="D47" s="209">
        <v>20</v>
      </c>
      <c r="E47" s="13">
        <v>217.25</v>
      </c>
      <c r="G47" s="95">
        <f t="shared" ref="G47:G49" si="7">D47*E47</f>
        <v>4345</v>
      </c>
      <c r="H47" s="69"/>
      <c r="I47" s="146">
        <f t="shared" si="6"/>
        <v>1.3811913386184593E-2</v>
      </c>
      <c r="J47" s="69"/>
      <c r="K47" s="68"/>
      <c r="L47" s="194"/>
    </row>
    <row r="48" spans="1:12" x14ac:dyDescent="0.25">
      <c r="A48" s="33" t="s">
        <v>83</v>
      </c>
      <c r="B48" s="10" t="s">
        <v>25</v>
      </c>
      <c r="C48" s="9" t="s">
        <v>26</v>
      </c>
      <c r="D48" s="209">
        <v>200</v>
      </c>
      <c r="E48" s="13">
        <v>17.54</v>
      </c>
      <c r="G48" s="95">
        <f t="shared" si="7"/>
        <v>3508</v>
      </c>
      <c r="H48" s="69"/>
      <c r="I48" s="146">
        <f t="shared" si="6"/>
        <v>1.1151252510641094E-2</v>
      </c>
      <c r="J48" s="69"/>
      <c r="K48" s="68"/>
      <c r="L48" s="194"/>
    </row>
    <row r="49" spans="1:12" x14ac:dyDescent="0.25">
      <c r="A49" s="33" t="s">
        <v>84</v>
      </c>
      <c r="B49" s="10" t="s">
        <v>28</v>
      </c>
      <c r="C49" s="9" t="s">
        <v>29</v>
      </c>
      <c r="D49" s="209">
        <v>2500</v>
      </c>
      <c r="E49" s="13">
        <v>2.0499999999999998</v>
      </c>
      <c r="G49" s="95">
        <f t="shared" si="7"/>
        <v>5125</v>
      </c>
      <c r="H49" s="69"/>
      <c r="I49" s="146">
        <f t="shared" si="6"/>
        <v>1.6291382302461691E-2</v>
      </c>
      <c r="J49" s="69"/>
      <c r="K49" s="68"/>
      <c r="L49" s="194"/>
    </row>
    <row r="50" spans="1:12" x14ac:dyDescent="0.25">
      <c r="A50" s="32" t="s">
        <v>278</v>
      </c>
      <c r="B50" s="8" t="s">
        <v>279</v>
      </c>
      <c r="C50" s="9"/>
      <c r="D50" s="209"/>
      <c r="E50" s="13"/>
      <c r="G50" s="109">
        <f>SUM(G51:G56)</f>
        <v>11385.476038000001</v>
      </c>
      <c r="H50" s="69"/>
      <c r="I50" s="146">
        <f t="shared" si="6"/>
        <v>3.619222299133168E-2</v>
      </c>
      <c r="J50" s="69"/>
      <c r="K50" s="68"/>
      <c r="L50" s="194"/>
    </row>
    <row r="51" spans="1:12" x14ac:dyDescent="0.25">
      <c r="A51" s="33" t="s">
        <v>280</v>
      </c>
      <c r="B51" s="10" t="s">
        <v>281</v>
      </c>
      <c r="C51" s="9" t="s">
        <v>26</v>
      </c>
      <c r="D51" s="209">
        <v>55.2</v>
      </c>
      <c r="E51" s="13">
        <v>54.08</v>
      </c>
      <c r="G51" s="95">
        <f>D51*E51</f>
        <v>2985.2159999999999</v>
      </c>
      <c r="H51" s="69"/>
      <c r="I51" s="146">
        <f t="shared" si="6"/>
        <v>9.4894234363757015E-3</v>
      </c>
      <c r="J51" s="69"/>
      <c r="K51" s="68"/>
      <c r="L51" s="194"/>
    </row>
    <row r="52" spans="1:12" x14ac:dyDescent="0.25">
      <c r="A52" s="33" t="s">
        <v>282</v>
      </c>
      <c r="B52" s="10" t="s">
        <v>283</v>
      </c>
      <c r="C52" s="9" t="s">
        <v>26</v>
      </c>
      <c r="D52" s="209">
        <v>13.8</v>
      </c>
      <c r="E52" s="13">
        <v>78.37</v>
      </c>
      <c r="G52" s="95">
        <f t="shared" ref="G52:G56" si="8">D52*E52</f>
        <v>1081.5060000000001</v>
      </c>
      <c r="H52" s="69"/>
      <c r="I52" s="146">
        <f t="shared" si="6"/>
        <v>3.4378980894450993E-3</v>
      </c>
      <c r="J52" s="69"/>
      <c r="K52" s="68"/>
      <c r="L52" s="194"/>
    </row>
    <row r="53" spans="1:12" x14ac:dyDescent="0.25">
      <c r="A53" s="33" t="s">
        <v>284</v>
      </c>
      <c r="B53" s="10" t="s">
        <v>285</v>
      </c>
      <c r="C53" s="9" t="s">
        <v>26</v>
      </c>
      <c r="D53" s="209">
        <v>4.83</v>
      </c>
      <c r="E53" s="13">
        <v>168.28</v>
      </c>
      <c r="G53" s="95">
        <f t="shared" si="8"/>
        <v>812.79240000000004</v>
      </c>
      <c r="H53" s="69"/>
      <c r="I53" s="146">
        <f t="shared" si="6"/>
        <v>2.5837096040849487E-3</v>
      </c>
      <c r="J53" s="69"/>
      <c r="K53" s="68"/>
      <c r="L53" s="194"/>
    </row>
    <row r="54" spans="1:12" x14ac:dyDescent="0.25">
      <c r="A54" s="33" t="s">
        <v>286</v>
      </c>
      <c r="B54" s="10" t="s">
        <v>287</v>
      </c>
      <c r="C54" s="9" t="s">
        <v>20</v>
      </c>
      <c r="D54" s="209">
        <v>73.599999999999994</v>
      </c>
      <c r="E54" s="13">
        <v>6.36</v>
      </c>
      <c r="G54" s="95">
        <f t="shared" si="8"/>
        <v>468.096</v>
      </c>
      <c r="H54" s="69"/>
      <c r="I54" s="146">
        <f t="shared" si="6"/>
        <v>1.4879865151713381E-3</v>
      </c>
      <c r="J54" s="69"/>
      <c r="K54" s="68"/>
      <c r="L54" s="194"/>
    </row>
    <row r="55" spans="1:12" x14ac:dyDescent="0.25">
      <c r="A55" s="33" t="s">
        <v>288</v>
      </c>
      <c r="B55" s="10" t="s">
        <v>25</v>
      </c>
      <c r="C55" s="9" t="s">
        <v>26</v>
      </c>
      <c r="D55" s="209">
        <v>215.53720000000001</v>
      </c>
      <c r="E55" s="13">
        <v>17.54</v>
      </c>
      <c r="G55" s="95">
        <f t="shared" si="8"/>
        <v>3780.5224880000001</v>
      </c>
      <c r="H55" s="69"/>
      <c r="I55" s="146">
        <f t="shared" si="6"/>
        <v>1.2017548713182759E-2</v>
      </c>
      <c r="J55" s="69"/>
      <c r="K55" s="68"/>
      <c r="L55" s="194"/>
    </row>
    <row r="56" spans="1:12" x14ac:dyDescent="0.25">
      <c r="A56" s="33" t="s">
        <v>289</v>
      </c>
      <c r="B56" s="10" t="s">
        <v>28</v>
      </c>
      <c r="C56" s="9" t="s">
        <v>29</v>
      </c>
      <c r="D56" s="209">
        <v>1101.143</v>
      </c>
      <c r="E56" s="13">
        <v>2.0499999999999998</v>
      </c>
      <c r="G56" s="95">
        <f t="shared" si="8"/>
        <v>2257.3431499999997</v>
      </c>
      <c r="H56" s="69"/>
      <c r="I56" s="146">
        <f t="shared" si="6"/>
        <v>7.1756566330718283E-3</v>
      </c>
      <c r="J56" s="69"/>
      <c r="K56" s="68"/>
      <c r="L56" s="194"/>
    </row>
    <row r="57" spans="1:12" x14ac:dyDescent="0.25">
      <c r="A57" s="32" t="s">
        <v>85</v>
      </c>
      <c r="B57" s="8" t="s">
        <v>31</v>
      </c>
      <c r="C57" s="9"/>
      <c r="D57" s="209"/>
      <c r="E57" s="13"/>
      <c r="G57" s="109"/>
      <c r="H57" s="143">
        <f>G58+G60</f>
        <v>284417.23</v>
      </c>
      <c r="I57" s="145">
        <f t="shared" ref="I57:I75" si="9">H57/$K$43</f>
        <v>0.9041072833828635</v>
      </c>
      <c r="J57" s="69"/>
      <c r="K57" s="68"/>
      <c r="L57" s="194"/>
    </row>
    <row r="58" spans="1:12" x14ac:dyDescent="0.25">
      <c r="A58" s="32" t="s">
        <v>86</v>
      </c>
      <c r="B58" s="8" t="s">
        <v>33</v>
      </c>
      <c r="C58" s="9"/>
      <c r="D58" s="209"/>
      <c r="E58" s="13"/>
      <c r="G58" s="109">
        <f>G59</f>
        <v>211321.60000000001</v>
      </c>
      <c r="H58" s="69"/>
      <c r="I58" s="146">
        <f>G58/$K$43</f>
        <v>0.67175043402300261</v>
      </c>
      <c r="J58" s="69"/>
      <c r="K58" s="68"/>
      <c r="L58" s="194"/>
    </row>
    <row r="59" spans="1:12" ht="25.5" x14ac:dyDescent="0.25">
      <c r="A59" s="33" t="s">
        <v>87</v>
      </c>
      <c r="B59" s="10" t="s">
        <v>35</v>
      </c>
      <c r="C59" s="9" t="s">
        <v>20</v>
      </c>
      <c r="D59" s="209">
        <v>280</v>
      </c>
      <c r="E59" s="13">
        <v>754.72</v>
      </c>
      <c r="G59" s="95">
        <v>211321.60000000001</v>
      </c>
      <c r="H59" s="69"/>
      <c r="I59" s="146">
        <f t="shared" ref="I59:I74" si="10">G59/$K$43</f>
        <v>0.67175043402300261</v>
      </c>
      <c r="J59" s="69"/>
      <c r="K59" s="68"/>
      <c r="L59" s="194"/>
    </row>
    <row r="60" spans="1:12" x14ac:dyDescent="0.25">
      <c r="A60" s="32" t="s">
        <v>88</v>
      </c>
      <c r="B60" s="8" t="s">
        <v>37</v>
      </c>
      <c r="C60" s="9"/>
      <c r="D60" s="209"/>
      <c r="E60" s="13"/>
      <c r="G60" s="109">
        <f>SUM(G61:G74)</f>
        <v>73095.62999999999</v>
      </c>
      <c r="H60" s="69"/>
      <c r="I60" s="146">
        <f t="shared" si="10"/>
        <v>0.23235684935986101</v>
      </c>
      <c r="J60" s="69"/>
      <c r="K60" s="68"/>
      <c r="L60" s="194"/>
    </row>
    <row r="61" spans="1:12" x14ac:dyDescent="0.25">
      <c r="A61" s="33" t="s">
        <v>89</v>
      </c>
      <c r="B61" s="10" t="s">
        <v>39</v>
      </c>
      <c r="C61" s="9" t="s">
        <v>26</v>
      </c>
      <c r="D61" s="209">
        <v>13.2</v>
      </c>
      <c r="E61" s="13">
        <v>641.26</v>
      </c>
      <c r="G61" s="95">
        <v>8464.6299999999992</v>
      </c>
      <c r="H61" s="69"/>
      <c r="I61" s="146">
        <f t="shared" si="10"/>
        <v>2.6907419195880248E-2</v>
      </c>
      <c r="J61" s="69"/>
      <c r="K61" s="68"/>
      <c r="L61" s="194"/>
    </row>
    <row r="62" spans="1:12" x14ac:dyDescent="0.25">
      <c r="A62" s="33" t="s">
        <v>90</v>
      </c>
      <c r="B62" s="10" t="s">
        <v>41</v>
      </c>
      <c r="C62" s="9" t="s">
        <v>42</v>
      </c>
      <c r="D62" s="209">
        <v>330</v>
      </c>
      <c r="E62" s="13">
        <v>8.64</v>
      </c>
      <c r="G62" s="95">
        <v>2851.2</v>
      </c>
      <c r="H62" s="69"/>
      <c r="I62" s="146">
        <f t="shared" si="10"/>
        <v>9.0634125308836615E-3</v>
      </c>
      <c r="J62" s="69"/>
      <c r="K62" s="68"/>
      <c r="L62" s="194"/>
    </row>
    <row r="63" spans="1:12" x14ac:dyDescent="0.25">
      <c r="A63" s="33" t="s">
        <v>91</v>
      </c>
      <c r="B63" s="10" t="s">
        <v>44</v>
      </c>
      <c r="C63" s="9" t="s">
        <v>42</v>
      </c>
      <c r="D63" s="209">
        <v>594</v>
      </c>
      <c r="E63" s="13">
        <v>9.66</v>
      </c>
      <c r="G63" s="95">
        <v>5738.04</v>
      </c>
      <c r="H63" s="69"/>
      <c r="I63" s="146">
        <f t="shared" si="10"/>
        <v>1.8240117718403372E-2</v>
      </c>
      <c r="J63" s="69"/>
      <c r="K63" s="68"/>
      <c r="L63" s="194"/>
    </row>
    <row r="64" spans="1:12" x14ac:dyDescent="0.25">
      <c r="A64" s="33" t="s">
        <v>92</v>
      </c>
      <c r="B64" s="10" t="s">
        <v>46</v>
      </c>
      <c r="C64" s="9" t="s">
        <v>42</v>
      </c>
      <c r="D64" s="209">
        <v>594</v>
      </c>
      <c r="E64" s="13">
        <v>8.84</v>
      </c>
      <c r="G64" s="95">
        <v>5250.96</v>
      </c>
      <c r="H64" s="69"/>
      <c r="I64" s="146">
        <f t="shared" si="10"/>
        <v>1.6691784744377412E-2</v>
      </c>
      <c r="J64" s="69"/>
      <c r="K64" s="68"/>
      <c r="L64" s="194"/>
    </row>
    <row r="65" spans="1:12" x14ac:dyDescent="0.25">
      <c r="A65" s="33" t="s">
        <v>93</v>
      </c>
      <c r="B65" s="10" t="s">
        <v>48</v>
      </c>
      <c r="C65" s="9" t="s">
        <v>26</v>
      </c>
      <c r="D65" s="209">
        <v>26.4</v>
      </c>
      <c r="E65" s="13">
        <v>25.13</v>
      </c>
      <c r="G65" s="95">
        <v>663.43</v>
      </c>
      <c r="H65" s="69"/>
      <c r="I65" s="146">
        <f t="shared" si="10"/>
        <v>2.1089154655457871E-3</v>
      </c>
      <c r="J65" s="69"/>
      <c r="K65" s="68"/>
      <c r="L65" s="194"/>
    </row>
    <row r="66" spans="1:12" x14ac:dyDescent="0.25">
      <c r="A66" s="33" t="s">
        <v>94</v>
      </c>
      <c r="B66" s="10" t="s">
        <v>50</v>
      </c>
      <c r="C66" s="9" t="s">
        <v>26</v>
      </c>
      <c r="D66" s="209">
        <v>0.66</v>
      </c>
      <c r="E66" s="13">
        <v>900.01</v>
      </c>
      <c r="G66" s="95">
        <v>594.01</v>
      </c>
      <c r="H66" s="69"/>
      <c r="I66" s="146">
        <f t="shared" si="10"/>
        <v>1.8882427319971255E-3</v>
      </c>
      <c r="J66" s="69"/>
      <c r="K66" s="68"/>
      <c r="L66" s="194"/>
    </row>
    <row r="67" spans="1:12" x14ac:dyDescent="0.25">
      <c r="A67" s="33" t="s">
        <v>95</v>
      </c>
      <c r="B67" s="10" t="s">
        <v>52</v>
      </c>
      <c r="C67" s="9" t="s">
        <v>26</v>
      </c>
      <c r="D67" s="209">
        <v>0.66</v>
      </c>
      <c r="E67" s="13">
        <v>1002.12</v>
      </c>
      <c r="G67" s="95">
        <v>661.4</v>
      </c>
      <c r="H67" s="69"/>
      <c r="I67" s="146">
        <f t="shared" si="10"/>
        <v>2.1024624887508608E-3</v>
      </c>
      <c r="J67" s="69"/>
      <c r="K67" s="68"/>
      <c r="L67" s="194"/>
    </row>
    <row r="68" spans="1:12" x14ac:dyDescent="0.25">
      <c r="A68" s="33" t="s">
        <v>96</v>
      </c>
      <c r="B68" s="10" t="s">
        <v>54</v>
      </c>
      <c r="C68" s="9" t="s">
        <v>26</v>
      </c>
      <c r="D68" s="209">
        <v>16.5</v>
      </c>
      <c r="E68" s="13">
        <v>1037.21</v>
      </c>
      <c r="G68" s="95">
        <v>17113.97</v>
      </c>
      <c r="H68" s="69"/>
      <c r="I68" s="146">
        <f t="shared" si="10"/>
        <v>5.4401995703972743E-2</v>
      </c>
      <c r="J68" s="69"/>
      <c r="K68" s="68"/>
      <c r="L68" s="194"/>
    </row>
    <row r="69" spans="1:12" x14ac:dyDescent="0.25">
      <c r="A69" s="33" t="s">
        <v>97</v>
      </c>
      <c r="B69" s="10" t="s">
        <v>56</v>
      </c>
      <c r="C69" s="9" t="s">
        <v>57</v>
      </c>
      <c r="D69" s="209">
        <v>16.5</v>
      </c>
      <c r="E69" s="13">
        <v>45.3</v>
      </c>
      <c r="G69" s="95">
        <v>747.45</v>
      </c>
      <c r="H69" s="69"/>
      <c r="I69" s="146">
        <f t="shared" si="10"/>
        <v>2.3759987711170715E-3</v>
      </c>
      <c r="J69" s="69"/>
      <c r="K69" s="68"/>
      <c r="L69" s="194"/>
    </row>
    <row r="70" spans="1:12" x14ac:dyDescent="0.25">
      <c r="A70" s="33" t="s">
        <v>98</v>
      </c>
      <c r="B70" s="10" t="s">
        <v>59</v>
      </c>
      <c r="C70" s="9" t="s">
        <v>20</v>
      </c>
      <c r="D70" s="209">
        <v>33</v>
      </c>
      <c r="E70" s="13">
        <v>106.17</v>
      </c>
      <c r="G70" s="95">
        <v>3503.61</v>
      </c>
      <c r="H70" s="69"/>
      <c r="I70" s="146">
        <f t="shared" si="10"/>
        <v>1.1137297550971278E-2</v>
      </c>
      <c r="J70" s="69"/>
      <c r="K70" s="68"/>
      <c r="L70" s="194"/>
    </row>
    <row r="71" spans="1:12" x14ac:dyDescent="0.25">
      <c r="A71" s="33" t="s">
        <v>99</v>
      </c>
      <c r="B71" s="10" t="s">
        <v>61</v>
      </c>
      <c r="C71" s="9" t="s">
        <v>26</v>
      </c>
      <c r="D71" s="209">
        <v>26.4</v>
      </c>
      <c r="E71" s="13">
        <v>56.85</v>
      </c>
      <c r="G71" s="95">
        <v>1500.84</v>
      </c>
      <c r="H71" s="69"/>
      <c r="I71" s="146">
        <f t="shared" si="10"/>
        <v>4.770879651673483E-3</v>
      </c>
      <c r="J71" s="69"/>
      <c r="K71" s="68"/>
      <c r="L71" s="194"/>
    </row>
    <row r="72" spans="1:12" x14ac:dyDescent="0.25">
      <c r="A72" s="33" t="s">
        <v>100</v>
      </c>
      <c r="B72" s="10" t="s">
        <v>63</v>
      </c>
      <c r="C72" s="9" t="s">
        <v>20</v>
      </c>
      <c r="D72" s="209">
        <v>26.4</v>
      </c>
      <c r="E72" s="13">
        <v>76.84</v>
      </c>
      <c r="G72" s="95">
        <v>2028.58</v>
      </c>
      <c r="H72" s="69"/>
      <c r="I72" s="146">
        <f t="shared" si="10"/>
        <v>6.4484628899761434E-3</v>
      </c>
      <c r="J72" s="69"/>
      <c r="K72" s="68"/>
      <c r="L72" s="194"/>
    </row>
    <row r="73" spans="1:12" x14ac:dyDescent="0.25">
      <c r="A73" s="33" t="s">
        <v>101</v>
      </c>
      <c r="B73" s="10" t="s">
        <v>65</v>
      </c>
      <c r="C73" s="9" t="s">
        <v>42</v>
      </c>
      <c r="D73" s="209">
        <v>412.5</v>
      </c>
      <c r="E73" s="13">
        <v>11.15</v>
      </c>
      <c r="G73" s="95">
        <v>4599.38</v>
      </c>
      <c r="H73" s="69"/>
      <c r="I73" s="146">
        <f t="shared" si="10"/>
        <v>1.4620538133521219E-2</v>
      </c>
      <c r="J73" s="69"/>
      <c r="K73" s="68"/>
      <c r="L73" s="194"/>
    </row>
    <row r="74" spans="1:12" x14ac:dyDescent="0.25">
      <c r="A74" s="33" t="s">
        <v>102</v>
      </c>
      <c r="B74" s="10" t="s">
        <v>67</v>
      </c>
      <c r="C74" s="9" t="s">
        <v>26</v>
      </c>
      <c r="D74" s="209">
        <v>26.4</v>
      </c>
      <c r="E74" s="13">
        <v>734.02</v>
      </c>
      <c r="G74" s="95">
        <v>19378.13</v>
      </c>
      <c r="H74" s="69"/>
      <c r="I74" s="146">
        <f t="shared" si="10"/>
        <v>6.1599321782790629E-2</v>
      </c>
      <c r="J74" s="69"/>
      <c r="K74" s="68"/>
      <c r="L74" s="194"/>
    </row>
    <row r="75" spans="1:12" x14ac:dyDescent="0.25">
      <c r="A75" s="32" t="s">
        <v>103</v>
      </c>
      <c r="B75" s="8" t="s">
        <v>69</v>
      </c>
      <c r="C75" s="9"/>
      <c r="D75" s="209"/>
      <c r="E75" s="13"/>
      <c r="G75" s="109"/>
      <c r="H75" s="143">
        <f>G76+G78</f>
        <v>3787.9900000000002</v>
      </c>
      <c r="I75" s="145">
        <f t="shared" si="9"/>
        <v>1.2041286487395485E-2</v>
      </c>
      <c r="J75" s="69"/>
      <c r="K75" s="68"/>
      <c r="L75" s="194"/>
    </row>
    <row r="76" spans="1:12" x14ac:dyDescent="0.25">
      <c r="A76" s="32" t="s">
        <v>104</v>
      </c>
      <c r="B76" s="8" t="s">
        <v>71</v>
      </c>
      <c r="C76" s="9"/>
      <c r="D76" s="209"/>
      <c r="E76" s="13"/>
      <c r="G76" s="109">
        <v>2932.8</v>
      </c>
      <c r="H76" s="69"/>
      <c r="I76" s="146">
        <f>G76/$K$43</f>
        <v>9.3228031252018829E-3</v>
      </c>
      <c r="J76" s="69"/>
      <c r="K76" s="68"/>
      <c r="L76" s="194"/>
    </row>
    <row r="77" spans="1:12" x14ac:dyDescent="0.25">
      <c r="A77" s="33" t="s">
        <v>105</v>
      </c>
      <c r="B77" s="10" t="s">
        <v>73</v>
      </c>
      <c r="C77" s="9" t="s">
        <v>57</v>
      </c>
      <c r="D77" s="209">
        <v>96</v>
      </c>
      <c r="E77" s="13">
        <v>30.55</v>
      </c>
      <c r="G77" s="95">
        <v>2932.8</v>
      </c>
      <c r="H77" s="69"/>
      <c r="I77" s="146">
        <f t="shared" ref="I77:I79" si="11">G77/$K$43</f>
        <v>9.3228031252018829E-3</v>
      </c>
      <c r="J77" s="69"/>
      <c r="K77" s="68"/>
      <c r="L77" s="194"/>
    </row>
    <row r="78" spans="1:12" x14ac:dyDescent="0.25">
      <c r="A78" s="32" t="s">
        <v>106</v>
      </c>
      <c r="B78" s="8" t="s">
        <v>75</v>
      </c>
      <c r="C78" s="9"/>
      <c r="D78" s="209"/>
      <c r="E78" s="13"/>
      <c r="G78" s="109">
        <v>855.19</v>
      </c>
      <c r="H78" s="69"/>
      <c r="I78" s="146">
        <f t="shared" si="11"/>
        <v>2.7184833621936026E-3</v>
      </c>
      <c r="J78" s="69"/>
      <c r="K78" s="68"/>
      <c r="L78" s="194"/>
    </row>
    <row r="79" spans="1:12" ht="25.5" x14ac:dyDescent="0.25">
      <c r="A79" s="33" t="s">
        <v>107</v>
      </c>
      <c r="B79" s="10" t="s">
        <v>77</v>
      </c>
      <c r="C79" s="9" t="s">
        <v>26</v>
      </c>
      <c r="D79" s="209">
        <v>0.5</v>
      </c>
      <c r="E79" s="13">
        <v>1710.38</v>
      </c>
      <c r="G79" s="95">
        <v>855.19</v>
      </c>
      <c r="H79" s="69"/>
      <c r="I79" s="146">
        <f t="shared" si="11"/>
        <v>2.7184833621936026E-3</v>
      </c>
      <c r="J79" s="69"/>
      <c r="K79" s="68"/>
      <c r="L79" s="194"/>
    </row>
    <row r="80" spans="1:12" x14ac:dyDescent="0.25">
      <c r="A80" s="33"/>
      <c r="B80" s="10"/>
      <c r="C80" s="9"/>
      <c r="D80" s="209"/>
      <c r="E80" s="13"/>
      <c r="G80" s="95"/>
      <c r="H80" s="69"/>
      <c r="I80" s="152"/>
      <c r="J80" s="69"/>
      <c r="K80" s="68"/>
      <c r="L80" s="194"/>
    </row>
    <row r="81" spans="1:12" x14ac:dyDescent="0.25">
      <c r="A81" s="32">
        <v>3</v>
      </c>
      <c r="B81" s="8" t="s">
        <v>479</v>
      </c>
      <c r="C81" s="9"/>
      <c r="D81" s="209"/>
      <c r="E81" s="13"/>
      <c r="G81" s="109"/>
      <c r="H81" s="69"/>
      <c r="I81" s="152"/>
      <c r="J81" s="69"/>
      <c r="K81" s="68">
        <f>SUM(H82:H113)</f>
        <v>537603.64827999985</v>
      </c>
      <c r="L81" s="169">
        <f>K81/$G$166</f>
        <v>0.18447157884294321</v>
      </c>
    </row>
    <row r="82" spans="1:12" x14ac:dyDescent="0.25">
      <c r="A82" s="32" t="s">
        <v>109</v>
      </c>
      <c r="B82" s="8" t="s">
        <v>15</v>
      </c>
      <c r="C82" s="9"/>
      <c r="D82" s="209"/>
      <c r="E82" s="13"/>
      <c r="G82" s="109"/>
      <c r="H82" s="143">
        <f>G83+G88</f>
        <v>24884.02708</v>
      </c>
      <c r="I82" s="145">
        <f>H82/$K$81</f>
        <v>4.628693863892766E-2</v>
      </c>
      <c r="J82" s="69"/>
      <c r="K82" s="68"/>
      <c r="L82" s="194"/>
    </row>
    <row r="83" spans="1:12" x14ac:dyDescent="0.25">
      <c r="A83" s="32" t="s">
        <v>110</v>
      </c>
      <c r="B83" s="8" t="s">
        <v>17</v>
      </c>
      <c r="C83" s="9"/>
      <c r="D83" s="209"/>
      <c r="E83" s="13"/>
      <c r="G83" s="109">
        <f>SUM(G84:G87)</f>
        <v>6124.0258799999992</v>
      </c>
      <c r="H83" s="69"/>
      <c r="I83" s="146">
        <f>G83/$K$81</f>
        <v>1.1391339883189234E-2</v>
      </c>
      <c r="J83" s="69"/>
      <c r="K83" s="68"/>
      <c r="L83" s="194"/>
    </row>
    <row r="84" spans="1:12" x14ac:dyDescent="0.25">
      <c r="A84" s="33" t="s">
        <v>111</v>
      </c>
      <c r="B84" s="10" t="s">
        <v>19</v>
      </c>
      <c r="C84" s="9" t="s">
        <v>20</v>
      </c>
      <c r="D84" s="209">
        <v>229.65100000000001</v>
      </c>
      <c r="E84" s="13">
        <v>4.38</v>
      </c>
      <c r="G84" s="95">
        <f>D84*E84</f>
        <v>1005.87138</v>
      </c>
      <c r="H84" s="143"/>
      <c r="I84" s="146">
        <f t="shared" ref="I84:I94" si="12">G84/$K$81</f>
        <v>1.8710278161581831E-3</v>
      </c>
      <c r="J84" s="69"/>
      <c r="K84" s="68"/>
      <c r="L84" s="194"/>
    </row>
    <row r="85" spans="1:12" x14ac:dyDescent="0.25">
      <c r="A85" s="33" t="s">
        <v>112</v>
      </c>
      <c r="B85" s="10" t="s">
        <v>22</v>
      </c>
      <c r="C85" s="9" t="s">
        <v>23</v>
      </c>
      <c r="D85" s="209">
        <v>5.55</v>
      </c>
      <c r="E85" s="13">
        <v>217.25</v>
      </c>
      <c r="G85" s="95">
        <f t="shared" ref="G85:G87" si="13">D85*E85</f>
        <v>1205.7375</v>
      </c>
      <c r="H85" s="69"/>
      <c r="I85" s="146">
        <f t="shared" si="12"/>
        <v>2.2428000700099719E-3</v>
      </c>
      <c r="J85" s="69"/>
      <c r="K85" s="68"/>
      <c r="L85" s="194"/>
    </row>
    <row r="86" spans="1:12" x14ac:dyDescent="0.25">
      <c r="A86" s="33" t="s">
        <v>113</v>
      </c>
      <c r="B86" s="10" t="s">
        <v>25</v>
      </c>
      <c r="C86" s="9" t="s">
        <v>26</v>
      </c>
      <c r="D86" s="209">
        <v>66.599999999999994</v>
      </c>
      <c r="E86" s="13">
        <v>17.54</v>
      </c>
      <c r="G86" s="95">
        <f t="shared" si="13"/>
        <v>1168.1639999999998</v>
      </c>
      <c r="H86" s="69"/>
      <c r="I86" s="146">
        <f t="shared" si="12"/>
        <v>2.1729093612690392E-3</v>
      </c>
      <c r="J86" s="69"/>
      <c r="K86" s="68"/>
      <c r="L86" s="194"/>
    </row>
    <row r="87" spans="1:12" x14ac:dyDescent="0.25">
      <c r="A87" s="33" t="s">
        <v>114</v>
      </c>
      <c r="B87" s="10" t="s">
        <v>28</v>
      </c>
      <c r="C87" s="9" t="s">
        <v>29</v>
      </c>
      <c r="D87" s="209">
        <v>1338.66</v>
      </c>
      <c r="E87" s="13">
        <v>2.0499999999999998</v>
      </c>
      <c r="G87" s="95">
        <f t="shared" si="13"/>
        <v>2744.2530000000002</v>
      </c>
      <c r="H87" s="69"/>
      <c r="I87" s="146">
        <f t="shared" si="12"/>
        <v>5.1046026357520402E-3</v>
      </c>
      <c r="J87" s="69"/>
      <c r="K87" s="68"/>
      <c r="L87" s="194"/>
    </row>
    <row r="88" spans="1:12" x14ac:dyDescent="0.25">
      <c r="A88" s="32" t="s">
        <v>291</v>
      </c>
      <c r="B88" s="8" t="s">
        <v>279</v>
      </c>
      <c r="C88" s="9"/>
      <c r="D88" s="209"/>
      <c r="E88" s="13"/>
      <c r="G88" s="109">
        <f>SUM(G89:G94)</f>
        <v>18760.001199999999</v>
      </c>
      <c r="H88" s="69"/>
      <c r="I88" s="146">
        <f t="shared" si="12"/>
        <v>3.4895598755738423E-2</v>
      </c>
      <c r="J88" s="69"/>
      <c r="K88" s="68"/>
      <c r="L88" s="194"/>
    </row>
    <row r="89" spans="1:12" x14ac:dyDescent="0.25">
      <c r="A89" s="33" t="s">
        <v>292</v>
      </c>
      <c r="B89" s="10" t="s">
        <v>281</v>
      </c>
      <c r="C89" s="9" t="s">
        <v>26</v>
      </c>
      <c r="D89" s="209">
        <v>116.4</v>
      </c>
      <c r="E89" s="13">
        <v>54.08</v>
      </c>
      <c r="G89" s="95">
        <f>D89*E89</f>
        <v>6294.9120000000003</v>
      </c>
      <c r="H89" s="69"/>
      <c r="I89" s="146">
        <f t="shared" si="12"/>
        <v>1.1709206252859029E-2</v>
      </c>
      <c r="J89" s="69"/>
      <c r="K89" s="68"/>
      <c r="L89" s="194"/>
    </row>
    <row r="90" spans="1:12" x14ac:dyDescent="0.25">
      <c r="A90" s="33" t="s">
        <v>293</v>
      </c>
      <c r="B90" s="10" t="s">
        <v>283</v>
      </c>
      <c r="C90" s="9" t="s">
        <v>26</v>
      </c>
      <c r="D90" s="209">
        <v>29.1</v>
      </c>
      <c r="E90" s="13">
        <v>78.37</v>
      </c>
      <c r="G90" s="95">
        <f t="shared" ref="G90:G94" si="14">D90*E90</f>
        <v>2280.5670000000005</v>
      </c>
      <c r="H90" s="69"/>
      <c r="I90" s="146">
        <f t="shared" si="12"/>
        <v>4.2420973282015634E-3</v>
      </c>
      <c r="J90" s="69"/>
      <c r="K90" s="68"/>
      <c r="L90" s="194"/>
    </row>
    <row r="91" spans="1:12" x14ac:dyDescent="0.25">
      <c r="A91" s="33" t="s">
        <v>294</v>
      </c>
      <c r="B91" s="10" t="s">
        <v>285</v>
      </c>
      <c r="C91" s="9" t="s">
        <v>26</v>
      </c>
      <c r="D91" s="209">
        <v>10.19</v>
      </c>
      <c r="E91" s="13">
        <v>168.28</v>
      </c>
      <c r="G91" s="95">
        <f t="shared" si="14"/>
        <v>1714.7731999999999</v>
      </c>
      <c r="H91" s="69"/>
      <c r="I91" s="146">
        <f t="shared" si="12"/>
        <v>3.1896606458795742E-3</v>
      </c>
      <c r="J91" s="69"/>
      <c r="K91" s="68"/>
      <c r="L91" s="194"/>
    </row>
    <row r="92" spans="1:12" x14ac:dyDescent="0.25">
      <c r="A92" s="33" t="s">
        <v>295</v>
      </c>
      <c r="B92" s="10" t="s">
        <v>287</v>
      </c>
      <c r="C92" s="9" t="s">
        <v>20</v>
      </c>
      <c r="D92" s="209">
        <v>155.19999999999999</v>
      </c>
      <c r="E92" s="13">
        <v>6.36</v>
      </c>
      <c r="G92" s="95">
        <f t="shared" si="14"/>
        <v>987.072</v>
      </c>
      <c r="H92" s="69"/>
      <c r="I92" s="146">
        <f t="shared" si="12"/>
        <v>1.8360589686435755E-3</v>
      </c>
      <c r="J92" s="69"/>
      <c r="K92" s="68"/>
      <c r="L92" s="194"/>
    </row>
    <row r="93" spans="1:12" x14ac:dyDescent="0.25">
      <c r="A93" s="33" t="s">
        <v>296</v>
      </c>
      <c r="B93" s="10" t="s">
        <v>25</v>
      </c>
      <c r="C93" s="9" t="s">
        <v>26</v>
      </c>
      <c r="D93" s="209">
        <v>155.19999999999999</v>
      </c>
      <c r="E93" s="13">
        <v>17.54</v>
      </c>
      <c r="G93" s="95">
        <f t="shared" si="14"/>
        <v>2722.2079999999996</v>
      </c>
      <c r="H93" s="69"/>
      <c r="I93" s="146">
        <f t="shared" si="12"/>
        <v>5.0635965896239478E-3</v>
      </c>
      <c r="J93" s="69"/>
      <c r="K93" s="68"/>
      <c r="L93" s="194"/>
    </row>
    <row r="94" spans="1:12" x14ac:dyDescent="0.25">
      <c r="A94" s="33" t="s">
        <v>297</v>
      </c>
      <c r="B94" s="10" t="s">
        <v>28</v>
      </c>
      <c r="C94" s="9" t="s">
        <v>29</v>
      </c>
      <c r="D94" s="209">
        <v>2322.1799999999998</v>
      </c>
      <c r="E94" s="13">
        <v>2.0499999999999998</v>
      </c>
      <c r="G94" s="95">
        <f t="shared" si="14"/>
        <v>4760.4689999999991</v>
      </c>
      <c r="H94" s="69"/>
      <c r="I94" s="146">
        <f t="shared" si="12"/>
        <v>8.8549789705307334E-3</v>
      </c>
      <c r="J94" s="69"/>
      <c r="K94" s="68"/>
      <c r="L94" s="194"/>
    </row>
    <row r="95" spans="1:12" x14ac:dyDescent="0.25">
      <c r="A95" s="32" t="s">
        <v>115</v>
      </c>
      <c r="B95" s="8" t="s">
        <v>31</v>
      </c>
      <c r="C95" s="9"/>
      <c r="D95" s="209"/>
      <c r="E95" s="13"/>
      <c r="G95" s="109"/>
      <c r="H95" s="143">
        <f>G96</f>
        <v>510458.92119999992</v>
      </c>
      <c r="I95" s="145">
        <f>H95/$K$81</f>
        <v>0.94950791876720642</v>
      </c>
      <c r="J95" s="69"/>
      <c r="K95" s="68"/>
      <c r="L95" s="194"/>
    </row>
    <row r="96" spans="1:12" x14ac:dyDescent="0.25">
      <c r="A96" s="32" t="s">
        <v>116</v>
      </c>
      <c r="B96" s="8" t="s">
        <v>37</v>
      </c>
      <c r="C96" s="9"/>
      <c r="D96" s="209"/>
      <c r="E96" s="13"/>
      <c r="G96" s="109">
        <f>SUM(G97:G110)</f>
        <v>510458.92119999992</v>
      </c>
      <c r="H96" s="69"/>
      <c r="I96" s="146">
        <f>G96/$K$81</f>
        <v>0.94950791876720642</v>
      </c>
      <c r="J96" s="69"/>
      <c r="K96" s="68"/>
      <c r="L96" s="194"/>
    </row>
    <row r="97" spans="1:12" x14ac:dyDescent="0.25">
      <c r="A97" s="33" t="s">
        <v>117</v>
      </c>
      <c r="B97" s="10" t="s">
        <v>39</v>
      </c>
      <c r="C97" s="9" t="s">
        <v>26</v>
      </c>
      <c r="D97" s="209">
        <v>118</v>
      </c>
      <c r="E97" s="13">
        <v>641.26</v>
      </c>
      <c r="G97" s="95">
        <f>D97*E97</f>
        <v>75668.679999999993</v>
      </c>
      <c r="H97" s="69"/>
      <c r="I97" s="146">
        <f t="shared" ref="I97:I110" si="15">G97/$K$81</f>
        <v>0.14075179780139718</v>
      </c>
      <c r="J97" s="69"/>
      <c r="K97" s="68"/>
      <c r="L97" s="194"/>
    </row>
    <row r="98" spans="1:12" x14ac:dyDescent="0.25">
      <c r="A98" s="33" t="s">
        <v>425</v>
      </c>
      <c r="B98" s="10" t="s">
        <v>41</v>
      </c>
      <c r="C98" s="9" t="s">
        <v>42</v>
      </c>
      <c r="D98" s="209">
        <v>2220</v>
      </c>
      <c r="E98" s="13">
        <v>8.64</v>
      </c>
      <c r="G98" s="95">
        <f t="shared" ref="G98:G110" si="16">D98*E98</f>
        <v>19180.800000000003</v>
      </c>
      <c r="H98" s="69"/>
      <c r="I98" s="146">
        <f t="shared" si="15"/>
        <v>3.567832930704011E-2</v>
      </c>
      <c r="J98" s="69"/>
      <c r="K98" s="68"/>
      <c r="L98" s="194"/>
    </row>
    <row r="99" spans="1:12" x14ac:dyDescent="0.25">
      <c r="A99" s="33" t="s">
        <v>426</v>
      </c>
      <c r="B99" s="10" t="s">
        <v>44</v>
      </c>
      <c r="C99" s="9" t="s">
        <v>42</v>
      </c>
      <c r="D99" s="209">
        <v>3996</v>
      </c>
      <c r="E99" s="13">
        <v>9.66</v>
      </c>
      <c r="G99" s="95">
        <f t="shared" si="16"/>
        <v>38601.360000000001</v>
      </c>
      <c r="H99" s="69"/>
      <c r="I99" s="146">
        <f t="shared" si="15"/>
        <v>7.1802637730418215E-2</v>
      </c>
      <c r="J99" s="69"/>
      <c r="K99" s="68"/>
      <c r="L99" s="194"/>
    </row>
    <row r="100" spans="1:12" x14ac:dyDescent="0.25">
      <c r="A100" s="33" t="s">
        <v>427</v>
      </c>
      <c r="B100" s="10" t="s">
        <v>46</v>
      </c>
      <c r="C100" s="9" t="s">
        <v>42</v>
      </c>
      <c r="D100" s="209">
        <v>3996</v>
      </c>
      <c r="E100" s="13">
        <v>8.84</v>
      </c>
      <c r="G100" s="95">
        <f t="shared" si="16"/>
        <v>35324.639999999999</v>
      </c>
      <c r="H100" s="69"/>
      <c r="I100" s="146">
        <f t="shared" si="15"/>
        <v>6.5707589807132191E-2</v>
      </c>
      <c r="J100" s="69"/>
      <c r="K100" s="68"/>
      <c r="L100" s="194"/>
    </row>
    <row r="101" spans="1:12" x14ac:dyDescent="0.25">
      <c r="A101" s="33" t="s">
        <v>428</v>
      </c>
      <c r="B101" s="10" t="s">
        <v>48</v>
      </c>
      <c r="C101" s="9" t="s">
        <v>26</v>
      </c>
      <c r="D101" s="209">
        <v>177.6</v>
      </c>
      <c r="E101" s="13">
        <v>25.13</v>
      </c>
      <c r="G101" s="95">
        <f t="shared" si="16"/>
        <v>4463.0879999999997</v>
      </c>
      <c r="H101" s="69"/>
      <c r="I101" s="146">
        <f t="shared" si="15"/>
        <v>8.3018186619066466E-3</v>
      </c>
      <c r="J101" s="69"/>
      <c r="K101" s="68"/>
      <c r="L101" s="194"/>
    </row>
    <row r="102" spans="1:12" x14ac:dyDescent="0.25">
      <c r="A102" s="33" t="s">
        <v>429</v>
      </c>
      <c r="B102" s="10" t="s">
        <v>50</v>
      </c>
      <c r="C102" s="9" t="s">
        <v>26</v>
      </c>
      <c r="D102" s="209">
        <v>4.4400000000000004</v>
      </c>
      <c r="E102" s="13">
        <v>900.01</v>
      </c>
      <c r="G102" s="95">
        <f t="shared" si="16"/>
        <v>3996.0444000000002</v>
      </c>
      <c r="H102" s="69"/>
      <c r="I102" s="146">
        <f t="shared" si="15"/>
        <v>7.43306786102527E-3</v>
      </c>
      <c r="J102" s="69"/>
      <c r="K102" s="68"/>
      <c r="L102" s="194"/>
    </row>
    <row r="103" spans="1:12" x14ac:dyDescent="0.25">
      <c r="A103" s="33" t="s">
        <v>430</v>
      </c>
      <c r="B103" s="10" t="s">
        <v>52</v>
      </c>
      <c r="C103" s="9" t="s">
        <v>26</v>
      </c>
      <c r="D103" s="209">
        <v>4.4400000000000004</v>
      </c>
      <c r="E103" s="13">
        <v>1002.12</v>
      </c>
      <c r="G103" s="95">
        <f t="shared" si="16"/>
        <v>4449.4128000000001</v>
      </c>
      <c r="H103" s="69"/>
      <c r="I103" s="146">
        <f t="shared" si="15"/>
        <v>8.2763813345303316E-3</v>
      </c>
      <c r="J103" s="69"/>
      <c r="K103" s="68"/>
      <c r="L103" s="194"/>
    </row>
    <row r="104" spans="1:12" x14ac:dyDescent="0.25">
      <c r="A104" s="33" t="s">
        <v>431</v>
      </c>
      <c r="B104" s="10" t="s">
        <v>54</v>
      </c>
      <c r="C104" s="9" t="s">
        <v>26</v>
      </c>
      <c r="D104" s="209">
        <v>111</v>
      </c>
      <c r="E104" s="13">
        <v>1037.21</v>
      </c>
      <c r="G104" s="95">
        <f t="shared" si="16"/>
        <v>115130.31</v>
      </c>
      <c r="H104" s="69"/>
      <c r="I104" s="146">
        <f t="shared" si="15"/>
        <v>0.2141546292856196</v>
      </c>
      <c r="J104" s="69"/>
      <c r="K104" s="68"/>
      <c r="L104" s="194"/>
    </row>
    <row r="105" spans="1:12" x14ac:dyDescent="0.25">
      <c r="A105" s="33" t="s">
        <v>432</v>
      </c>
      <c r="B105" s="10" t="s">
        <v>56</v>
      </c>
      <c r="C105" s="9" t="s">
        <v>57</v>
      </c>
      <c r="D105" s="209">
        <v>111</v>
      </c>
      <c r="E105" s="13">
        <v>45.3</v>
      </c>
      <c r="G105" s="95">
        <f t="shared" si="16"/>
        <v>5028.2999999999993</v>
      </c>
      <c r="H105" s="69"/>
      <c r="I105" s="146">
        <f t="shared" si="15"/>
        <v>9.3531731343108604E-3</v>
      </c>
      <c r="J105" s="69"/>
      <c r="K105" s="68"/>
      <c r="L105" s="194"/>
    </row>
    <row r="106" spans="1:12" x14ac:dyDescent="0.25">
      <c r="A106" s="33" t="s">
        <v>433</v>
      </c>
      <c r="B106" s="10" t="s">
        <v>59</v>
      </c>
      <c r="C106" s="9" t="s">
        <v>20</v>
      </c>
      <c r="D106" s="209">
        <v>222</v>
      </c>
      <c r="E106" s="13">
        <v>106.17</v>
      </c>
      <c r="G106" s="95">
        <f t="shared" si="16"/>
        <v>23569.74</v>
      </c>
      <c r="H106" s="69"/>
      <c r="I106" s="146">
        <f t="shared" si="15"/>
        <v>4.3842224797782964E-2</v>
      </c>
      <c r="J106" s="69"/>
      <c r="K106" s="68"/>
      <c r="L106" s="194"/>
    </row>
    <row r="107" spans="1:12" x14ac:dyDescent="0.25">
      <c r="A107" s="33" t="s">
        <v>434</v>
      </c>
      <c r="B107" s="10" t="s">
        <v>61</v>
      </c>
      <c r="C107" s="9" t="s">
        <v>26</v>
      </c>
      <c r="D107" s="209">
        <v>177.6</v>
      </c>
      <c r="E107" s="13">
        <v>56.85</v>
      </c>
      <c r="G107" s="95">
        <f t="shared" si="16"/>
        <v>10096.56</v>
      </c>
      <c r="H107" s="69"/>
      <c r="I107" s="146">
        <f t="shared" si="15"/>
        <v>1.8780676121344722E-2</v>
      </c>
      <c r="J107" s="69"/>
      <c r="K107" s="68"/>
      <c r="L107" s="194"/>
    </row>
    <row r="108" spans="1:12" x14ac:dyDescent="0.25">
      <c r="A108" s="33" t="s">
        <v>435</v>
      </c>
      <c r="B108" s="10" t="s">
        <v>63</v>
      </c>
      <c r="C108" s="9" t="s">
        <v>20</v>
      </c>
      <c r="D108" s="209">
        <v>177.6</v>
      </c>
      <c r="E108" s="13">
        <v>76.84</v>
      </c>
      <c r="G108" s="95">
        <f t="shared" si="16"/>
        <v>13646.784</v>
      </c>
      <c r="H108" s="69"/>
      <c r="I108" s="146">
        <f t="shared" si="15"/>
        <v>2.5384470592157052E-2</v>
      </c>
      <c r="J108" s="69"/>
      <c r="K108" s="68"/>
      <c r="L108" s="194"/>
    </row>
    <row r="109" spans="1:12" x14ac:dyDescent="0.25">
      <c r="A109" s="33" t="s">
        <v>436</v>
      </c>
      <c r="B109" s="10" t="s">
        <v>65</v>
      </c>
      <c r="C109" s="9" t="s">
        <v>42</v>
      </c>
      <c r="D109" s="209">
        <v>2775</v>
      </c>
      <c r="E109" s="13">
        <v>11.15</v>
      </c>
      <c r="G109" s="95">
        <f t="shared" si="16"/>
        <v>30941.25</v>
      </c>
      <c r="H109" s="69"/>
      <c r="I109" s="146">
        <f t="shared" si="15"/>
        <v>5.7554017907045313E-2</v>
      </c>
      <c r="J109" s="69"/>
      <c r="K109" s="68"/>
      <c r="L109" s="194"/>
    </row>
    <row r="110" spans="1:12" x14ac:dyDescent="0.25">
      <c r="A110" s="33" t="s">
        <v>437</v>
      </c>
      <c r="B110" s="10" t="s">
        <v>67</v>
      </c>
      <c r="C110" s="9" t="s">
        <v>26</v>
      </c>
      <c r="D110" s="209">
        <v>177.6</v>
      </c>
      <c r="E110" s="13">
        <v>734.02</v>
      </c>
      <c r="G110" s="95">
        <f t="shared" si="16"/>
        <v>130361.95199999999</v>
      </c>
      <c r="H110" s="69"/>
      <c r="I110" s="146">
        <f t="shared" si="15"/>
        <v>0.24248710442549609</v>
      </c>
      <c r="J110" s="69"/>
      <c r="K110" s="68"/>
      <c r="L110" s="194"/>
    </row>
    <row r="111" spans="1:12" x14ac:dyDescent="0.25">
      <c r="A111" s="32" t="s">
        <v>126</v>
      </c>
      <c r="B111" s="8" t="s">
        <v>69</v>
      </c>
      <c r="C111" s="9"/>
      <c r="D111" s="209"/>
      <c r="E111" s="13"/>
      <c r="G111" s="109"/>
      <c r="H111" s="143">
        <f>G112</f>
        <v>2260.6999999999998</v>
      </c>
      <c r="I111" s="145">
        <f>H111/$K$81</f>
        <v>4.2051425938660304E-3</v>
      </c>
      <c r="J111" s="69"/>
      <c r="K111" s="68"/>
      <c r="L111" s="194"/>
    </row>
    <row r="112" spans="1:12" x14ac:dyDescent="0.25">
      <c r="A112" s="32" t="s">
        <v>127</v>
      </c>
      <c r="B112" s="8" t="s">
        <v>71</v>
      </c>
      <c r="C112" s="9"/>
      <c r="D112" s="209"/>
      <c r="E112" s="13"/>
      <c r="G112" s="109">
        <v>2260.6999999999998</v>
      </c>
      <c r="H112" s="69"/>
      <c r="I112" s="146">
        <f>G112/$K$81</f>
        <v>4.2051425938660304E-3</v>
      </c>
      <c r="J112" s="69"/>
      <c r="K112" s="68"/>
      <c r="L112" s="194"/>
    </row>
    <row r="113" spans="1:12" ht="13.5" thickBot="1" x14ac:dyDescent="0.3">
      <c r="A113" s="34" t="s">
        <v>128</v>
      </c>
      <c r="B113" s="35" t="s">
        <v>73</v>
      </c>
      <c r="C113" s="36" t="s">
        <v>57</v>
      </c>
      <c r="D113" s="212">
        <v>74</v>
      </c>
      <c r="E113" s="37">
        <v>30.55</v>
      </c>
      <c r="F113" s="157"/>
      <c r="G113" s="96">
        <v>2260.6999999999998</v>
      </c>
      <c r="H113" s="203"/>
      <c r="I113" s="151">
        <f>G113/$K$81</f>
        <v>4.2051425938660304E-3</v>
      </c>
      <c r="J113" s="203"/>
      <c r="K113" s="78"/>
      <c r="L113" s="198"/>
    </row>
    <row r="114" spans="1:12" ht="13.5" thickBot="1" x14ac:dyDescent="0.3">
      <c r="A114" s="52"/>
      <c r="B114" s="52"/>
      <c r="D114" s="210"/>
      <c r="E114" s="44"/>
      <c r="G114" s="159"/>
      <c r="H114" s="190"/>
      <c r="I114" s="191"/>
      <c r="J114" s="190"/>
      <c r="K114" s="192"/>
      <c r="L114" s="191"/>
    </row>
    <row r="115" spans="1:12" x14ac:dyDescent="0.25">
      <c r="A115" s="25">
        <v>4</v>
      </c>
      <c r="B115" s="26" t="s">
        <v>206</v>
      </c>
      <c r="C115" s="27"/>
      <c r="D115" s="211"/>
      <c r="E115" s="29"/>
      <c r="F115" s="156"/>
      <c r="G115" s="105"/>
      <c r="H115" s="204"/>
      <c r="I115" s="193"/>
      <c r="J115" s="204"/>
      <c r="K115" s="73">
        <f>SUM(H115:H164)</f>
        <v>2814910.04</v>
      </c>
      <c r="L115" s="179">
        <v>1</v>
      </c>
    </row>
    <row r="116" spans="1:12" x14ac:dyDescent="0.25">
      <c r="A116" s="32" t="s">
        <v>132</v>
      </c>
      <c r="B116" s="8" t="s">
        <v>15</v>
      </c>
      <c r="C116" s="9"/>
      <c r="D116" s="209"/>
      <c r="E116" s="13"/>
      <c r="G116" s="109"/>
      <c r="H116" s="143">
        <f>G117+G122</f>
        <v>429849.51</v>
      </c>
      <c r="I116" s="145">
        <f>H116/$K$115</f>
        <v>0.15270452834791126</v>
      </c>
      <c r="J116" s="69"/>
      <c r="K116" s="68"/>
      <c r="L116" s="194"/>
    </row>
    <row r="117" spans="1:12" x14ac:dyDescent="0.25">
      <c r="A117" s="32" t="s">
        <v>133</v>
      </c>
      <c r="B117" s="8" t="s">
        <v>17</v>
      </c>
      <c r="C117" s="9"/>
      <c r="D117" s="209"/>
      <c r="E117" s="13"/>
      <c r="G117" s="109">
        <f>SUM(G118:G121)</f>
        <v>323483.14</v>
      </c>
      <c r="H117" s="69"/>
      <c r="I117" s="146">
        <f>G117/$K$115</f>
        <v>0.11491775417448154</v>
      </c>
      <c r="J117" s="69"/>
      <c r="K117" s="68"/>
      <c r="L117" s="194"/>
    </row>
    <row r="118" spans="1:12" x14ac:dyDescent="0.25">
      <c r="A118" s="33" t="s">
        <v>134</v>
      </c>
      <c r="B118" s="10" t="s">
        <v>19</v>
      </c>
      <c r="C118" s="9" t="s">
        <v>20</v>
      </c>
      <c r="D118" s="209">
        <v>11791</v>
      </c>
      <c r="E118" s="13">
        <v>4.38</v>
      </c>
      <c r="G118" s="95">
        <v>51644.58</v>
      </c>
      <c r="H118" s="69"/>
      <c r="I118" s="146">
        <f t="shared" ref="I118:I128" si="17">G118/$K$115</f>
        <v>1.834679590684184E-2</v>
      </c>
      <c r="J118" s="69"/>
      <c r="K118" s="68"/>
      <c r="L118" s="194"/>
    </row>
    <row r="119" spans="1:12" x14ac:dyDescent="0.25">
      <c r="A119" s="33" t="s">
        <v>135</v>
      </c>
      <c r="B119" s="10" t="s">
        <v>22</v>
      </c>
      <c r="C119" s="9" t="s">
        <v>23</v>
      </c>
      <c r="D119" s="209">
        <v>294.77999999999997</v>
      </c>
      <c r="E119" s="13">
        <v>217.25</v>
      </c>
      <c r="G119" s="95">
        <v>64039.87</v>
      </c>
      <c r="H119" s="69"/>
      <c r="I119" s="146">
        <f t="shared" si="17"/>
        <v>2.2750236806857244E-2</v>
      </c>
      <c r="J119" s="69"/>
      <c r="K119" s="68"/>
      <c r="L119" s="194"/>
    </row>
    <row r="120" spans="1:12" x14ac:dyDescent="0.25">
      <c r="A120" s="33" t="s">
        <v>136</v>
      </c>
      <c r="B120" s="10" t="s">
        <v>25</v>
      </c>
      <c r="C120" s="9" t="s">
        <v>26</v>
      </c>
      <c r="D120" s="209">
        <v>3537.3</v>
      </c>
      <c r="E120" s="13">
        <v>17.54</v>
      </c>
      <c r="G120" s="95">
        <v>62044.24</v>
      </c>
      <c r="H120" s="69"/>
      <c r="I120" s="146">
        <f t="shared" si="17"/>
        <v>2.2041286974840587E-2</v>
      </c>
      <c r="J120" s="69"/>
      <c r="K120" s="68"/>
      <c r="L120" s="194"/>
    </row>
    <row r="121" spans="1:12" x14ac:dyDescent="0.25">
      <c r="A121" s="33" t="s">
        <v>137</v>
      </c>
      <c r="B121" s="10" t="s">
        <v>28</v>
      </c>
      <c r="C121" s="9" t="s">
        <v>29</v>
      </c>
      <c r="D121" s="209">
        <v>71099.73</v>
      </c>
      <c r="E121" s="13">
        <v>2.0499999999999998</v>
      </c>
      <c r="G121" s="95">
        <v>145754.45000000001</v>
      </c>
      <c r="H121" s="69"/>
      <c r="I121" s="146">
        <f t="shared" si="17"/>
        <v>5.1779434485941869E-2</v>
      </c>
      <c r="J121" s="69"/>
      <c r="K121" s="68"/>
      <c r="L121" s="194"/>
    </row>
    <row r="122" spans="1:12" x14ac:dyDescent="0.25">
      <c r="A122" s="32" t="s">
        <v>438</v>
      </c>
      <c r="B122" s="8" t="s">
        <v>279</v>
      </c>
      <c r="C122" s="9"/>
      <c r="D122" s="209"/>
      <c r="E122" s="13"/>
      <c r="G122" s="109">
        <f>SUM(G123:G128)</f>
        <v>106366.37</v>
      </c>
      <c r="H122" s="69"/>
      <c r="I122" s="146">
        <f t="shared" si="17"/>
        <v>3.778677417342971E-2</v>
      </c>
      <c r="J122" s="69"/>
      <c r="K122" s="68"/>
      <c r="L122" s="194"/>
    </row>
    <row r="123" spans="1:12" x14ac:dyDescent="0.25">
      <c r="A123" s="33" t="s">
        <v>439</v>
      </c>
      <c r="B123" s="10" t="s">
        <v>281</v>
      </c>
      <c r="C123" s="9" t="s">
        <v>26</v>
      </c>
      <c r="D123" s="209">
        <v>660</v>
      </c>
      <c r="E123" s="13">
        <v>54.08</v>
      </c>
      <c r="G123" s="95">
        <v>35692.800000000003</v>
      </c>
      <c r="H123" s="69"/>
      <c r="I123" s="146">
        <f t="shared" si="17"/>
        <v>1.2679907880821656E-2</v>
      </c>
      <c r="J123" s="69"/>
      <c r="K123" s="68"/>
      <c r="L123" s="194"/>
    </row>
    <row r="124" spans="1:12" x14ac:dyDescent="0.25">
      <c r="A124" s="33" t="s">
        <v>440</v>
      </c>
      <c r="B124" s="10" t="s">
        <v>283</v>
      </c>
      <c r="C124" s="9" t="s">
        <v>26</v>
      </c>
      <c r="D124" s="209">
        <v>165</v>
      </c>
      <c r="E124" s="13">
        <v>78.37</v>
      </c>
      <c r="G124" s="95">
        <v>12931.05</v>
      </c>
      <c r="H124" s="69"/>
      <c r="I124" s="146">
        <f t="shared" si="17"/>
        <v>4.5937702506471572E-3</v>
      </c>
      <c r="J124" s="69"/>
      <c r="K124" s="68"/>
      <c r="L124" s="194"/>
    </row>
    <row r="125" spans="1:12" x14ac:dyDescent="0.25">
      <c r="A125" s="33" t="s">
        <v>441</v>
      </c>
      <c r="B125" s="10" t="s">
        <v>285</v>
      </c>
      <c r="C125" s="9" t="s">
        <v>26</v>
      </c>
      <c r="D125" s="209">
        <v>57.75</v>
      </c>
      <c r="E125" s="13">
        <v>168.28</v>
      </c>
      <c r="G125" s="95">
        <v>9718.17</v>
      </c>
      <c r="H125" s="69"/>
      <c r="I125" s="146">
        <f t="shared" si="17"/>
        <v>3.4523909687714212E-3</v>
      </c>
      <c r="J125" s="69"/>
      <c r="K125" s="68"/>
      <c r="L125" s="194"/>
    </row>
    <row r="126" spans="1:12" x14ac:dyDescent="0.25">
      <c r="A126" s="33" t="s">
        <v>442</v>
      </c>
      <c r="B126" s="10" t="s">
        <v>287</v>
      </c>
      <c r="C126" s="9" t="s">
        <v>20</v>
      </c>
      <c r="D126" s="209">
        <v>880</v>
      </c>
      <c r="E126" s="13">
        <v>6.36</v>
      </c>
      <c r="G126" s="95">
        <v>5596.8</v>
      </c>
      <c r="H126" s="69"/>
      <c r="I126" s="146">
        <f t="shared" si="17"/>
        <v>1.9882695789454076E-3</v>
      </c>
      <c r="J126" s="69"/>
      <c r="K126" s="68"/>
      <c r="L126" s="194"/>
    </row>
    <row r="127" spans="1:12" x14ac:dyDescent="0.25">
      <c r="A127" s="33" t="s">
        <v>443</v>
      </c>
      <c r="B127" s="10" t="s">
        <v>25</v>
      </c>
      <c r="C127" s="9" t="s">
        <v>26</v>
      </c>
      <c r="D127" s="209">
        <v>880</v>
      </c>
      <c r="E127" s="13">
        <v>17.54</v>
      </c>
      <c r="G127" s="95">
        <v>15435.2</v>
      </c>
      <c r="H127" s="69"/>
      <c r="I127" s="146">
        <f t="shared" si="17"/>
        <v>5.4833723922488127E-3</v>
      </c>
      <c r="J127" s="69"/>
      <c r="K127" s="68"/>
      <c r="L127" s="194"/>
    </row>
    <row r="128" spans="1:12" x14ac:dyDescent="0.25">
      <c r="A128" s="33" t="s">
        <v>444</v>
      </c>
      <c r="B128" s="10" t="s">
        <v>28</v>
      </c>
      <c r="C128" s="9" t="s">
        <v>29</v>
      </c>
      <c r="D128" s="209">
        <v>13167</v>
      </c>
      <c r="E128" s="13">
        <v>2.0499999999999998</v>
      </c>
      <c r="G128" s="95">
        <v>26992.35</v>
      </c>
      <c r="H128" s="69"/>
      <c r="I128" s="146">
        <f t="shared" si="17"/>
        <v>9.5890631019952596E-3</v>
      </c>
      <c r="J128" s="69"/>
      <c r="K128" s="68"/>
      <c r="L128" s="194"/>
    </row>
    <row r="129" spans="1:12" x14ac:dyDescent="0.25">
      <c r="A129" s="32" t="s">
        <v>185</v>
      </c>
      <c r="B129" s="8" t="s">
        <v>208</v>
      </c>
      <c r="C129" s="9"/>
      <c r="D129" s="209"/>
      <c r="E129" s="13"/>
      <c r="G129" s="109"/>
      <c r="H129" s="143">
        <f>G130+G132+G134</f>
        <v>932688.46</v>
      </c>
      <c r="I129" s="145">
        <f>H129/$K$115</f>
        <v>0.33133863844544031</v>
      </c>
      <c r="J129" s="69"/>
      <c r="K129" s="68"/>
      <c r="L129" s="194"/>
    </row>
    <row r="130" spans="1:12" x14ac:dyDescent="0.25">
      <c r="A130" s="32" t="s">
        <v>186</v>
      </c>
      <c r="B130" s="8" t="s">
        <v>71</v>
      </c>
      <c r="C130" s="9"/>
      <c r="D130" s="209"/>
      <c r="E130" s="13"/>
      <c r="G130" s="109">
        <v>132464.79999999999</v>
      </c>
      <c r="H130" s="69"/>
      <c r="I130" s="146">
        <f>G130/$K$115</f>
        <v>4.7058271176580825E-2</v>
      </c>
      <c r="J130" s="69"/>
      <c r="K130" s="68"/>
      <c r="L130" s="194"/>
    </row>
    <row r="131" spans="1:12" x14ac:dyDescent="0.25">
      <c r="A131" s="33" t="s">
        <v>187</v>
      </c>
      <c r="B131" s="10" t="s">
        <v>73</v>
      </c>
      <c r="C131" s="9" t="s">
        <v>57</v>
      </c>
      <c r="D131" s="209">
        <v>4336</v>
      </c>
      <c r="E131" s="13">
        <v>30.55</v>
      </c>
      <c r="G131" s="95">
        <v>132464.79999999999</v>
      </c>
      <c r="H131" s="69"/>
      <c r="I131" s="146">
        <f t="shared" ref="I131:I136" si="18">G131/$K$115</f>
        <v>4.7058271176580825E-2</v>
      </c>
      <c r="J131" s="69"/>
      <c r="K131" s="68"/>
      <c r="L131" s="194"/>
    </row>
    <row r="132" spans="1:12" x14ac:dyDescent="0.25">
      <c r="A132" s="32" t="s">
        <v>188</v>
      </c>
      <c r="B132" s="8" t="s">
        <v>75</v>
      </c>
      <c r="C132" s="9"/>
      <c r="D132" s="209"/>
      <c r="E132" s="13"/>
      <c r="G132" s="109">
        <v>41733.269999999997</v>
      </c>
      <c r="H132" s="69"/>
      <c r="I132" s="146">
        <f t="shared" si="18"/>
        <v>1.4825791732939358E-2</v>
      </c>
      <c r="J132" s="69"/>
      <c r="K132" s="68"/>
      <c r="L132" s="194"/>
    </row>
    <row r="133" spans="1:12" ht="25.5" x14ac:dyDescent="0.25">
      <c r="A133" s="33" t="s">
        <v>189</v>
      </c>
      <c r="B133" s="10" t="s">
        <v>77</v>
      </c>
      <c r="C133" s="9" t="s">
        <v>26</v>
      </c>
      <c r="D133" s="209">
        <v>24.4</v>
      </c>
      <c r="E133" s="13">
        <v>1710.38</v>
      </c>
      <c r="G133" s="95">
        <v>41733.269999999997</v>
      </c>
      <c r="H133" s="69"/>
      <c r="I133" s="146">
        <f t="shared" si="18"/>
        <v>1.4825791732939358E-2</v>
      </c>
      <c r="J133" s="69"/>
      <c r="K133" s="68"/>
      <c r="L133" s="194"/>
    </row>
    <row r="134" spans="1:12" x14ac:dyDescent="0.25">
      <c r="A134" s="32" t="s">
        <v>445</v>
      </c>
      <c r="B134" s="8" t="s">
        <v>446</v>
      </c>
      <c r="C134" s="9"/>
      <c r="D134" s="209"/>
      <c r="E134" s="13"/>
      <c r="G134" s="109">
        <f>SUM(G135:G136)</f>
        <v>758490.39</v>
      </c>
      <c r="H134" s="69"/>
      <c r="I134" s="146">
        <f t="shared" si="18"/>
        <v>0.26945457553592017</v>
      </c>
      <c r="J134" s="69"/>
      <c r="K134" s="68"/>
      <c r="L134" s="194"/>
    </row>
    <row r="135" spans="1:12" x14ac:dyDescent="0.25">
      <c r="A135" s="33" t="s">
        <v>447</v>
      </c>
      <c r="B135" s="10" t="s">
        <v>448</v>
      </c>
      <c r="C135" s="9" t="s">
        <v>57</v>
      </c>
      <c r="D135" s="209">
        <v>3583</v>
      </c>
      <c r="E135" s="13">
        <v>206.46</v>
      </c>
      <c r="G135" s="95">
        <v>739746.18</v>
      </c>
      <c r="H135" s="69"/>
      <c r="I135" s="146">
        <f t="shared" si="18"/>
        <v>0.26279567356973155</v>
      </c>
      <c r="J135" s="69"/>
      <c r="K135" s="68"/>
      <c r="L135" s="194"/>
    </row>
    <row r="136" spans="1:12" x14ac:dyDescent="0.25">
      <c r="A136" s="33" t="s">
        <v>449</v>
      </c>
      <c r="B136" s="10" t="s">
        <v>450</v>
      </c>
      <c r="C136" s="9" t="s">
        <v>23</v>
      </c>
      <c r="D136" s="209">
        <v>119.31</v>
      </c>
      <c r="E136" s="13">
        <v>157.1</v>
      </c>
      <c r="G136" s="95">
        <v>18744.21</v>
      </c>
      <c r="H136" s="69"/>
      <c r="I136" s="146">
        <f t="shared" si="18"/>
        <v>6.6589019661885884E-3</v>
      </c>
      <c r="J136" s="69"/>
      <c r="K136" s="68"/>
      <c r="L136" s="194"/>
    </row>
    <row r="137" spans="1:12" x14ac:dyDescent="0.25">
      <c r="A137" s="32" t="s">
        <v>451</v>
      </c>
      <c r="B137" s="8" t="s">
        <v>215</v>
      </c>
      <c r="C137" s="9"/>
      <c r="D137" s="209"/>
      <c r="E137" s="13"/>
      <c r="G137" s="109"/>
      <c r="H137" s="143">
        <f>G138+G140+G154</f>
        <v>1326678.5299999998</v>
      </c>
      <c r="I137" s="145">
        <f>H137/$K$115</f>
        <v>0.47130405986260215</v>
      </c>
      <c r="J137" s="69"/>
      <c r="K137" s="68"/>
      <c r="L137" s="194"/>
    </row>
    <row r="138" spans="1:12" x14ac:dyDescent="0.25">
      <c r="A138" s="32" t="s">
        <v>452</v>
      </c>
      <c r="B138" s="8" t="s">
        <v>217</v>
      </c>
      <c r="C138" s="9"/>
      <c r="D138" s="209"/>
      <c r="E138" s="13"/>
      <c r="G138" s="109">
        <v>60613.36</v>
      </c>
      <c r="H138" s="69"/>
      <c r="I138" s="146">
        <f>G138/$K$115</f>
        <v>2.1532965223996999E-2</v>
      </c>
      <c r="J138" s="69"/>
      <c r="K138" s="68"/>
      <c r="L138" s="194"/>
    </row>
    <row r="139" spans="1:12" x14ac:dyDescent="0.25">
      <c r="A139" s="33" t="s">
        <v>453</v>
      </c>
      <c r="B139" s="10" t="s">
        <v>219</v>
      </c>
      <c r="C139" s="9" t="s">
        <v>26</v>
      </c>
      <c r="D139" s="209">
        <v>77.599999999999994</v>
      </c>
      <c r="E139" s="13">
        <v>781.1</v>
      </c>
      <c r="G139" s="95">
        <v>60613.36</v>
      </c>
      <c r="H139" s="69"/>
      <c r="I139" s="146">
        <f t="shared" ref="I139:I156" si="19">G139/$K$115</f>
        <v>2.1532965223996999E-2</v>
      </c>
      <c r="J139" s="69"/>
      <c r="K139" s="68"/>
      <c r="L139" s="194"/>
    </row>
    <row r="140" spans="1:12" x14ac:dyDescent="0.25">
      <c r="A140" s="32" t="s">
        <v>455</v>
      </c>
      <c r="B140" s="8" t="s">
        <v>221</v>
      </c>
      <c r="C140" s="9"/>
      <c r="D140" s="209"/>
      <c r="E140" s="13"/>
      <c r="G140" s="109">
        <f>SUM(G141:G153)</f>
        <v>797968.33</v>
      </c>
      <c r="H140" s="69"/>
      <c r="I140" s="146">
        <f t="shared" si="19"/>
        <v>0.28347915871585011</v>
      </c>
      <c r="J140" s="69"/>
      <c r="K140" s="68"/>
      <c r="L140" s="194"/>
    </row>
    <row r="141" spans="1:12" x14ac:dyDescent="0.25">
      <c r="A141" s="33" t="s">
        <v>456</v>
      </c>
      <c r="B141" s="10" t="s">
        <v>223</v>
      </c>
      <c r="C141" s="9" t="s">
        <v>26</v>
      </c>
      <c r="D141" s="209">
        <v>65.599999999999994</v>
      </c>
      <c r="E141" s="13">
        <v>89.09</v>
      </c>
      <c r="G141" s="95">
        <v>5844.3</v>
      </c>
      <c r="H141" s="69"/>
      <c r="I141" s="146">
        <f t="shared" si="19"/>
        <v>2.0761942360332055E-3</v>
      </c>
      <c r="J141" s="69"/>
      <c r="K141" s="68"/>
      <c r="L141" s="194"/>
    </row>
    <row r="142" spans="1:12" x14ac:dyDescent="0.25">
      <c r="A142" s="33" t="s">
        <v>457</v>
      </c>
      <c r="B142" s="10" t="s">
        <v>225</v>
      </c>
      <c r="C142" s="9" t="s">
        <v>20</v>
      </c>
      <c r="D142" s="209">
        <v>32.799999999999997</v>
      </c>
      <c r="E142" s="13">
        <v>39.33</v>
      </c>
      <c r="G142" s="95">
        <v>1290.02</v>
      </c>
      <c r="H142" s="69"/>
      <c r="I142" s="146">
        <f t="shared" si="19"/>
        <v>4.5828107529859104E-4</v>
      </c>
      <c r="J142" s="69"/>
      <c r="K142" s="68"/>
      <c r="L142" s="194"/>
    </row>
    <row r="143" spans="1:12" x14ac:dyDescent="0.25">
      <c r="A143" s="33" t="s">
        <v>458</v>
      </c>
      <c r="B143" s="10" t="s">
        <v>65</v>
      </c>
      <c r="C143" s="9" t="s">
        <v>42</v>
      </c>
      <c r="D143" s="209">
        <v>3936</v>
      </c>
      <c r="E143" s="13">
        <v>11.15</v>
      </c>
      <c r="G143" s="95">
        <v>43886.400000000001</v>
      </c>
      <c r="H143" s="69"/>
      <c r="I143" s="146">
        <f t="shared" si="19"/>
        <v>1.5590693619466432E-2</v>
      </c>
      <c r="J143" s="69"/>
      <c r="K143" s="68"/>
      <c r="L143" s="194"/>
    </row>
    <row r="144" spans="1:12" x14ac:dyDescent="0.25">
      <c r="A144" s="33" t="s">
        <v>720</v>
      </c>
      <c r="B144" s="10" t="s">
        <v>228</v>
      </c>
      <c r="C144" s="9" t="s">
        <v>26</v>
      </c>
      <c r="D144" s="209">
        <v>65.599999999999994</v>
      </c>
      <c r="E144" s="13">
        <v>875.73</v>
      </c>
      <c r="G144" s="95">
        <v>57447.89</v>
      </c>
      <c r="H144" s="69"/>
      <c r="I144" s="146">
        <f t="shared" si="19"/>
        <v>2.0408428398656746E-2</v>
      </c>
      <c r="J144" s="69"/>
      <c r="K144" s="68"/>
      <c r="L144" s="194"/>
    </row>
    <row r="145" spans="1:12" ht="25.5" x14ac:dyDescent="0.25">
      <c r="A145" s="33" t="s">
        <v>721</v>
      </c>
      <c r="B145" s="10" t="s">
        <v>230</v>
      </c>
      <c r="C145" s="9" t="s">
        <v>20</v>
      </c>
      <c r="D145" s="209">
        <v>226.32</v>
      </c>
      <c r="E145" s="13">
        <v>151.13</v>
      </c>
      <c r="G145" s="95">
        <v>34203.74</v>
      </c>
      <c r="H145" s="69"/>
      <c r="I145" s="146">
        <f t="shared" si="19"/>
        <v>1.2150917618667486E-2</v>
      </c>
      <c r="J145" s="69"/>
      <c r="K145" s="68"/>
      <c r="L145" s="194"/>
    </row>
    <row r="146" spans="1:12" x14ac:dyDescent="0.25">
      <c r="A146" s="33" t="s">
        <v>722</v>
      </c>
      <c r="B146" s="10" t="s">
        <v>232</v>
      </c>
      <c r="C146" s="9" t="s">
        <v>20</v>
      </c>
      <c r="D146" s="209">
        <v>157.44</v>
      </c>
      <c r="E146" s="13">
        <v>51.45</v>
      </c>
      <c r="G146" s="95">
        <v>8100.29</v>
      </c>
      <c r="H146" s="69"/>
      <c r="I146" s="146">
        <f t="shared" si="19"/>
        <v>2.8776372547948282E-3</v>
      </c>
      <c r="J146" s="69"/>
      <c r="K146" s="68"/>
      <c r="L146" s="194"/>
    </row>
    <row r="147" spans="1:12" x14ac:dyDescent="0.25">
      <c r="A147" s="33" t="s">
        <v>723</v>
      </c>
      <c r="B147" s="10" t="s">
        <v>234</v>
      </c>
      <c r="C147" s="9" t="s">
        <v>20</v>
      </c>
      <c r="D147" s="209">
        <v>541.20000000000005</v>
      </c>
      <c r="E147" s="13">
        <v>56.18</v>
      </c>
      <c r="G147" s="95">
        <v>30404.62</v>
      </c>
      <c r="H147" s="69"/>
      <c r="I147" s="146">
        <f t="shared" si="19"/>
        <v>1.0801275908625485E-2</v>
      </c>
      <c r="J147" s="69"/>
      <c r="K147" s="68"/>
      <c r="L147" s="194"/>
    </row>
    <row r="148" spans="1:12" x14ac:dyDescent="0.25">
      <c r="A148" s="33" t="s">
        <v>724</v>
      </c>
      <c r="B148" s="10" t="s">
        <v>236</v>
      </c>
      <c r="C148" s="9" t="s">
        <v>42</v>
      </c>
      <c r="D148" s="209">
        <v>8239.36</v>
      </c>
      <c r="E148" s="13">
        <v>14.93</v>
      </c>
      <c r="G148" s="95">
        <v>123013.64</v>
      </c>
      <c r="H148" s="69"/>
      <c r="I148" s="146">
        <f t="shared" si="19"/>
        <v>4.3700735814633705E-2</v>
      </c>
      <c r="J148" s="69"/>
      <c r="K148" s="68"/>
      <c r="L148" s="194"/>
    </row>
    <row r="149" spans="1:12" x14ac:dyDescent="0.25">
      <c r="A149" s="33" t="s">
        <v>725</v>
      </c>
      <c r="B149" s="10" t="s">
        <v>238</v>
      </c>
      <c r="C149" s="9" t="s">
        <v>42</v>
      </c>
      <c r="D149" s="209">
        <v>7209.44</v>
      </c>
      <c r="E149" s="13">
        <v>14.32</v>
      </c>
      <c r="G149" s="95">
        <v>103239.18</v>
      </c>
      <c r="H149" s="69"/>
      <c r="I149" s="146">
        <f t="shared" si="19"/>
        <v>3.667583636171904E-2</v>
      </c>
      <c r="J149" s="69"/>
      <c r="K149" s="68"/>
      <c r="L149" s="194"/>
    </row>
    <row r="150" spans="1:12" x14ac:dyDescent="0.25">
      <c r="A150" s="33" t="s">
        <v>726</v>
      </c>
      <c r="B150" s="10" t="s">
        <v>240</v>
      </c>
      <c r="C150" s="9" t="s">
        <v>42</v>
      </c>
      <c r="D150" s="209">
        <v>5149.6000000000004</v>
      </c>
      <c r="E150" s="13">
        <v>10.039999999999999</v>
      </c>
      <c r="G150" s="95">
        <v>51701.98</v>
      </c>
      <c r="H150" s="69"/>
      <c r="I150" s="146">
        <f t="shared" si="19"/>
        <v>1.8367187322263414E-2</v>
      </c>
      <c r="J150" s="69"/>
      <c r="K150" s="68"/>
      <c r="L150" s="194"/>
    </row>
    <row r="151" spans="1:12" x14ac:dyDescent="0.25">
      <c r="A151" s="33" t="s">
        <v>727</v>
      </c>
      <c r="B151" s="10" t="s">
        <v>242</v>
      </c>
      <c r="C151" s="9" t="s">
        <v>26</v>
      </c>
      <c r="D151" s="209">
        <v>13.12</v>
      </c>
      <c r="E151" s="13">
        <v>805.4</v>
      </c>
      <c r="G151" s="95">
        <v>10566.85</v>
      </c>
      <c r="H151" s="69"/>
      <c r="I151" s="146">
        <f t="shared" si="19"/>
        <v>3.7538855060533301E-3</v>
      </c>
      <c r="J151" s="69"/>
      <c r="K151" s="68"/>
      <c r="L151" s="194"/>
    </row>
    <row r="152" spans="1:12" x14ac:dyDescent="0.25">
      <c r="A152" s="33" t="s">
        <v>728</v>
      </c>
      <c r="B152" s="10" t="s">
        <v>244</v>
      </c>
      <c r="C152" s="9" t="s">
        <v>26</v>
      </c>
      <c r="D152" s="209">
        <v>305.04000000000002</v>
      </c>
      <c r="E152" s="13">
        <v>641.98</v>
      </c>
      <c r="G152" s="95">
        <v>195829.58</v>
      </c>
      <c r="H152" s="69"/>
      <c r="I152" s="146">
        <f t="shared" si="19"/>
        <v>6.9568681491505135E-2</v>
      </c>
      <c r="J152" s="69"/>
      <c r="K152" s="68"/>
      <c r="L152" s="194"/>
    </row>
    <row r="153" spans="1:12" x14ac:dyDescent="0.25">
      <c r="A153" s="33" t="s">
        <v>729</v>
      </c>
      <c r="B153" s="10" t="s">
        <v>246</v>
      </c>
      <c r="C153" s="9" t="s">
        <v>57</v>
      </c>
      <c r="D153" s="209">
        <v>656</v>
      </c>
      <c r="E153" s="13">
        <v>201.89</v>
      </c>
      <c r="G153" s="95">
        <v>132439.84</v>
      </c>
      <c r="H153" s="69"/>
      <c r="I153" s="146">
        <f t="shared" si="19"/>
        <v>4.7049404108132707E-2</v>
      </c>
      <c r="J153" s="69"/>
      <c r="K153" s="68"/>
      <c r="L153" s="194"/>
    </row>
    <row r="154" spans="1:12" x14ac:dyDescent="0.25">
      <c r="A154" s="32" t="s">
        <v>730</v>
      </c>
      <c r="B154" s="8" t="s">
        <v>248</v>
      </c>
      <c r="C154" s="9"/>
      <c r="D154" s="209"/>
      <c r="E154" s="13"/>
      <c r="G154" s="109">
        <f>G155+G156</f>
        <v>468096.83999999997</v>
      </c>
      <c r="H154" s="69"/>
      <c r="I154" s="146">
        <f t="shared" si="19"/>
        <v>0.1662919359227551</v>
      </c>
      <c r="J154" s="69"/>
      <c r="K154" s="68"/>
      <c r="L154" s="194"/>
    </row>
    <row r="155" spans="1:12" x14ac:dyDescent="0.25">
      <c r="A155" s="33" t="s">
        <v>731</v>
      </c>
      <c r="B155" s="10" t="s">
        <v>250</v>
      </c>
      <c r="C155" s="9" t="s">
        <v>26</v>
      </c>
      <c r="D155" s="209">
        <v>108</v>
      </c>
      <c r="E155" s="13">
        <v>3911.67</v>
      </c>
      <c r="G155" s="95">
        <v>422460.36</v>
      </c>
      <c r="H155" s="69"/>
      <c r="I155" s="146">
        <f t="shared" si="19"/>
        <v>0.15007952438863728</v>
      </c>
      <c r="J155" s="69"/>
      <c r="K155" s="68"/>
      <c r="L155" s="194"/>
    </row>
    <row r="156" spans="1:12" x14ac:dyDescent="0.25">
      <c r="A156" s="33" t="s">
        <v>732</v>
      </c>
      <c r="B156" s="10" t="s">
        <v>252</v>
      </c>
      <c r="C156" s="9" t="s">
        <v>57</v>
      </c>
      <c r="D156" s="209">
        <v>432</v>
      </c>
      <c r="E156" s="13">
        <v>105.64</v>
      </c>
      <c r="G156" s="95">
        <v>45636.480000000003</v>
      </c>
      <c r="H156" s="69"/>
      <c r="I156" s="146">
        <f t="shared" si="19"/>
        <v>1.6212411534117802E-2</v>
      </c>
      <c r="J156" s="69"/>
      <c r="K156" s="68"/>
      <c r="L156" s="194"/>
    </row>
    <row r="157" spans="1:12" x14ac:dyDescent="0.25">
      <c r="A157" s="32" t="s">
        <v>459</v>
      </c>
      <c r="B157" s="8" t="s">
        <v>254</v>
      </c>
      <c r="C157" s="9"/>
      <c r="D157" s="209"/>
      <c r="E157" s="13"/>
      <c r="G157" s="109"/>
      <c r="H157" s="143">
        <f>G158</f>
        <v>84481.54</v>
      </c>
      <c r="I157" s="145">
        <f>H157/$K$115</f>
        <v>3.0012163372723624E-2</v>
      </c>
      <c r="J157" s="69"/>
      <c r="K157" s="68"/>
      <c r="L157" s="194"/>
    </row>
    <row r="158" spans="1:12" x14ac:dyDescent="0.25">
      <c r="A158" s="32" t="s">
        <v>460</v>
      </c>
      <c r="B158" s="8" t="s">
        <v>256</v>
      </c>
      <c r="C158" s="9"/>
      <c r="D158" s="209"/>
      <c r="E158" s="13"/>
      <c r="G158" s="109">
        <v>84481.54</v>
      </c>
      <c r="H158" s="69"/>
      <c r="I158" s="146">
        <f>G158/$K$115</f>
        <v>3.0012163372723624E-2</v>
      </c>
      <c r="J158" s="69"/>
      <c r="K158" s="68"/>
      <c r="L158" s="194"/>
    </row>
    <row r="159" spans="1:12" x14ac:dyDescent="0.25">
      <c r="A159" s="33" t="s">
        <v>461</v>
      </c>
      <c r="B159" s="10" t="s">
        <v>258</v>
      </c>
      <c r="C159" s="9" t="s">
        <v>57</v>
      </c>
      <c r="D159" s="209">
        <v>1199</v>
      </c>
      <c r="E159" s="13">
        <v>70.459999999999994</v>
      </c>
      <c r="G159" s="95">
        <v>84481.54</v>
      </c>
      <c r="H159" s="69"/>
      <c r="I159" s="146">
        <f>G159/$K$115</f>
        <v>3.0012163372723624E-2</v>
      </c>
      <c r="J159" s="69"/>
      <c r="K159" s="68"/>
      <c r="L159" s="194"/>
    </row>
    <row r="160" spans="1:12" x14ac:dyDescent="0.25">
      <c r="A160" s="32" t="s">
        <v>562</v>
      </c>
      <c r="B160" s="8" t="s">
        <v>260</v>
      </c>
      <c r="C160" s="9"/>
      <c r="D160" s="209"/>
      <c r="E160" s="13"/>
      <c r="G160" s="109"/>
      <c r="H160" s="143">
        <f>G161+G163</f>
        <v>41212</v>
      </c>
      <c r="I160" s="145">
        <f>H160/$K$115</f>
        <v>1.4640609971322565E-2</v>
      </c>
      <c r="J160" s="69"/>
      <c r="K160" s="68"/>
      <c r="L160" s="194"/>
    </row>
    <row r="161" spans="1:12" x14ac:dyDescent="0.25">
      <c r="A161" s="32" t="s">
        <v>563</v>
      </c>
      <c r="B161" s="8" t="s">
        <v>262</v>
      </c>
      <c r="C161" s="9"/>
      <c r="D161" s="209"/>
      <c r="E161" s="13"/>
      <c r="G161" s="109">
        <v>21500</v>
      </c>
      <c r="H161" s="69"/>
      <c r="I161" s="146">
        <f>G161/$K$115</f>
        <v>7.6378995045966016E-3</v>
      </c>
      <c r="J161" s="69"/>
      <c r="K161" s="68"/>
      <c r="L161" s="194"/>
    </row>
    <row r="162" spans="1:12" x14ac:dyDescent="0.25">
      <c r="A162" s="33" t="s">
        <v>564</v>
      </c>
      <c r="B162" s="10" t="s">
        <v>264</v>
      </c>
      <c r="C162" s="9" t="s">
        <v>23</v>
      </c>
      <c r="D162" s="209">
        <v>43</v>
      </c>
      <c r="E162" s="13">
        <v>500</v>
      </c>
      <c r="G162" s="95">
        <v>21500</v>
      </c>
      <c r="H162" s="69"/>
      <c r="I162" s="146">
        <f t="shared" ref="I162:I164" si="20">G162/$K$115</f>
        <v>7.6378995045966016E-3</v>
      </c>
      <c r="J162" s="69"/>
      <c r="K162" s="68"/>
      <c r="L162" s="194"/>
    </row>
    <row r="163" spans="1:12" x14ac:dyDescent="0.25">
      <c r="A163" s="32" t="s">
        <v>565</v>
      </c>
      <c r="B163" s="8" t="s">
        <v>266</v>
      </c>
      <c r="C163" s="9"/>
      <c r="D163" s="209"/>
      <c r="E163" s="13"/>
      <c r="G163" s="109">
        <v>19712</v>
      </c>
      <c r="H163" s="69"/>
      <c r="I163" s="146">
        <f t="shared" si="20"/>
        <v>7.0027104667259631E-3</v>
      </c>
      <c r="J163" s="69"/>
      <c r="K163" s="68"/>
      <c r="L163" s="194"/>
    </row>
    <row r="164" spans="1:12" ht="13.5" thickBot="1" x14ac:dyDescent="0.3">
      <c r="A164" s="34" t="s">
        <v>566</v>
      </c>
      <c r="B164" s="35" t="s">
        <v>268</v>
      </c>
      <c r="C164" s="36" t="s">
        <v>23</v>
      </c>
      <c r="D164" s="212">
        <v>14</v>
      </c>
      <c r="E164" s="37">
        <v>1408</v>
      </c>
      <c r="F164" s="157"/>
      <c r="G164" s="96">
        <v>19712</v>
      </c>
      <c r="H164" s="203"/>
      <c r="I164" s="151">
        <f t="shared" si="20"/>
        <v>7.0027104667259631E-3</v>
      </c>
      <c r="J164" s="203"/>
      <c r="K164" s="78"/>
      <c r="L164" s="198"/>
    </row>
    <row r="166" spans="1:12" s="7" customFormat="1" ht="15" x14ac:dyDescent="0.25">
      <c r="A166" s="11"/>
      <c r="B166" s="98" t="s">
        <v>271</v>
      </c>
      <c r="C166" s="9"/>
      <c r="D166" s="99"/>
      <c r="E166" s="95"/>
      <c r="G166" s="277">
        <f>SUM(K5:K113)</f>
        <v>2914289.8415680001</v>
      </c>
      <c r="H166" s="277"/>
      <c r="I166" s="277"/>
      <c r="J166" s="277"/>
      <c r="K166" s="277"/>
      <c r="L166" s="163">
        <v>1</v>
      </c>
    </row>
    <row r="167" spans="1:12" s="7" customFormat="1" ht="15" x14ac:dyDescent="0.25">
      <c r="A167" s="18"/>
      <c r="B167" s="98" t="s">
        <v>272</v>
      </c>
      <c r="C167" s="18"/>
      <c r="D167" s="144"/>
      <c r="E167" s="132"/>
      <c r="G167" s="277">
        <f>K115</f>
        <v>2814910.04</v>
      </c>
      <c r="H167" s="277"/>
      <c r="I167" s="277"/>
      <c r="J167" s="277"/>
      <c r="K167" s="277"/>
      <c r="L167" s="163">
        <v>1</v>
      </c>
    </row>
    <row r="168" spans="1:12" s="7" customFormat="1" ht="15" x14ac:dyDescent="0.25">
      <c r="A168" s="18"/>
      <c r="B168" s="98" t="s">
        <v>270</v>
      </c>
      <c r="C168" s="18"/>
      <c r="D168" s="144"/>
      <c r="E168" s="132"/>
      <c r="G168" s="277">
        <f>G166+G167</f>
        <v>5729199.8815679997</v>
      </c>
      <c r="H168" s="277"/>
      <c r="I168" s="277"/>
      <c r="J168" s="277"/>
      <c r="K168" s="277"/>
      <c r="L168" s="126"/>
    </row>
    <row r="171" spans="1:12" x14ac:dyDescent="0.25">
      <c r="G171" s="62"/>
      <c r="I171" s="62"/>
    </row>
    <row r="172" spans="1:12" x14ac:dyDescent="0.25">
      <c r="G172" s="62"/>
      <c r="I172" s="62"/>
    </row>
    <row r="173" spans="1:12" x14ac:dyDescent="0.25">
      <c r="G173" s="62"/>
      <c r="I173" s="62"/>
    </row>
  </sheetData>
  <mergeCells count="5">
    <mergeCell ref="G3:L3"/>
    <mergeCell ref="G4:H4"/>
    <mergeCell ref="G166:K166"/>
    <mergeCell ref="G167:K167"/>
    <mergeCell ref="G168:K168"/>
  </mergeCells>
  <pageMargins left="0.511811024" right="0.511811024" top="0.78740157499999996" bottom="0.78740157499999996" header="0.31496062000000002" footer="0.31496062000000002"/>
  <pageSetup paperSize="8" scale="73" fitToHeight="0" orientation="landscape" horizontalDpi="1200" verticalDpi="1200" r:id="rId1"/>
  <ignoredErrors>
    <ignoredError sqref="I19 I37 I57 I75 I95 I111 I157 I160 G12 G50 G88"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14</vt:i4>
      </vt:variant>
    </vt:vector>
  </HeadingPairs>
  <TitlesOfParts>
    <vt:vector size="14" baseType="lpstr">
      <vt:lpstr>00_Resumo</vt:lpstr>
      <vt:lpstr>01_Carvalho</vt:lpstr>
      <vt:lpstr>02_Esperança</vt:lpstr>
      <vt:lpstr>03_Aureliano</vt:lpstr>
      <vt:lpstr>04_Seringal</vt:lpstr>
      <vt:lpstr>05_Vila Freitas</vt:lpstr>
      <vt:lpstr>06_Nova Esperança</vt:lpstr>
      <vt:lpstr>07_Floresta</vt:lpstr>
      <vt:lpstr>08_Coqueiro</vt:lpstr>
      <vt:lpstr>09_Legião</vt:lpstr>
      <vt:lpstr>10_Amparo</vt:lpstr>
      <vt:lpstr>11_Nerival</vt:lpstr>
      <vt:lpstr>12_Cano</vt:lpstr>
      <vt:lpstr>13_Soledade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Clever</dc:creator>
  <cp:lastModifiedBy>Servidor</cp:lastModifiedBy>
  <cp:lastPrinted>2025-09-19T21:37:46Z</cp:lastPrinted>
  <dcterms:created xsi:type="dcterms:W3CDTF">2015-06-05T18:19:34Z</dcterms:created>
  <dcterms:modified xsi:type="dcterms:W3CDTF">2026-02-19T18:15:38Z</dcterms:modified>
</cp:coreProperties>
</file>